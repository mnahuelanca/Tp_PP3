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EGAS" sheetId="1" r:id="rId5"/>
    <sheet state="visible" name="PRODUCTORES" sheetId="2" r:id="rId6"/>
    <sheet state="visible" name="PRODUCTOS" sheetId="3" r:id="rId7"/>
    <sheet state="visible" name="INICIO" sheetId="4" r:id="rId8"/>
  </sheets>
  <definedNames>
    <definedName hidden="1" localSheetId="1" name="_xlnm._FilterDatabase">PRODUCTORES!$A$1:$E$1000</definedName>
  </definedNames>
  <calcPr/>
</workbook>
</file>

<file path=xl/sharedStrings.xml><?xml version="1.0" encoding="utf-8"?>
<sst xmlns="http://schemas.openxmlformats.org/spreadsheetml/2006/main" count="3182" uniqueCount="1444">
  <si>
    <t>DASHBOARD</t>
  </si>
  <si>
    <t>ID_Producto</t>
  </si>
  <si>
    <t>N° Entrega</t>
  </si>
  <si>
    <t>ID_Productor</t>
  </si>
  <si>
    <t>Nombre del Producto</t>
  </si>
  <si>
    <t>Categoría / Grupo</t>
  </si>
  <si>
    <t>Unidad de Medida</t>
  </si>
  <si>
    <t>Observaciones</t>
  </si>
  <si>
    <t>ART-01</t>
  </si>
  <si>
    <t>Apellido</t>
  </si>
  <si>
    <t>Nombre</t>
  </si>
  <si>
    <t>Acelga</t>
  </si>
  <si>
    <t>¿Está Inscripto?</t>
  </si>
  <si>
    <t>Hortaliza de Hoja</t>
  </si>
  <si>
    <t>Bandeja</t>
  </si>
  <si>
    <t>Dirección (Coor)</t>
  </si>
  <si>
    <t>ART-02</t>
  </si>
  <si>
    <t>Achicoria</t>
  </si>
  <si>
    <t>ID - Apellido y Nombre</t>
  </si>
  <si>
    <t>PROD-001</t>
  </si>
  <si>
    <t>AGUIER</t>
  </si>
  <si>
    <t>HUGO</t>
  </si>
  <si>
    <t>Fecha</t>
  </si>
  <si>
    <t>ART-03</t>
  </si>
  <si>
    <t>Albahaca</t>
  </si>
  <si>
    <t>Hierba Aromática / Condimento</t>
  </si>
  <si>
    <t>ART-04</t>
  </si>
  <si>
    <t>Apio</t>
  </si>
  <si>
    <t>Hortaliza de Tallo / Hoja</t>
  </si>
  <si>
    <t>ART-05</t>
  </si>
  <si>
    <t>Bandejas de Variedades / Mix de Hortalizas (Berenjena, Zapallo, Pimiento, Kale)</t>
  </si>
  <si>
    <t>Presentación / Combo</t>
  </si>
  <si>
    <t>ART-06</t>
  </si>
  <si>
    <t>Berenjena</t>
  </si>
  <si>
    <t>Hortaliza de Fruto</t>
  </si>
  <si>
    <t>Productor / Institución</t>
  </si>
  <si>
    <t>ART-07</t>
  </si>
  <si>
    <t>Brócoli</t>
  </si>
  <si>
    <t>No</t>
  </si>
  <si>
    <t>Hortaliza de Flor / Inflorescencia</t>
  </si>
  <si>
    <t>Apellido y Nombre</t>
  </si>
  <si>
    <t>ART-08</t>
  </si>
  <si>
    <t>Cebolla</t>
  </si>
  <si>
    <t>Hortaliza de Bulbo</t>
  </si>
  <si>
    <t>Producto</t>
  </si>
  <si>
    <t>ART-09</t>
  </si>
  <si>
    <t>Cebolla de Verdeo / Verdeo</t>
  </si>
  <si>
    <t>Cantidad</t>
  </si>
  <si>
    <t>Hortaliza de Bulbo / Tallo</t>
  </si>
  <si>
    <t>ART-10</t>
  </si>
  <si>
    <t>Cilantro</t>
  </si>
  <si>
    <t>ART-11</t>
  </si>
  <si>
    <t>Coliflor</t>
  </si>
  <si>
    <t>ART-12</t>
  </si>
  <si>
    <t>Espinaca</t>
  </si>
  <si>
    <t>ART-13</t>
  </si>
  <si>
    <t>Kale (Rizado / Palmera)</t>
  </si>
  <si>
    <t>ART-14</t>
  </si>
  <si>
    <t>Lechuga (Verde / Mantecosa / Criolla)</t>
  </si>
  <si>
    <t>ART-15</t>
  </si>
  <si>
    <t>Lechuga Morada (L.M.)</t>
  </si>
  <si>
    <t>Hortaliza de Hoja (Variedad)</t>
  </si>
  <si>
    <t>ART-16</t>
  </si>
  <si>
    <t>Nabo</t>
  </si>
  <si>
    <t>Hortaliza de Raíz</t>
  </si>
  <si>
    <t>ART-17</t>
  </si>
  <si>
    <t>Orégano</t>
  </si>
  <si>
    <t>ART-18</t>
  </si>
  <si>
    <t>Pepino</t>
  </si>
  <si>
    <t>ART-19</t>
  </si>
  <si>
    <t>Perejil</t>
  </si>
  <si>
    <t>ART-20</t>
  </si>
  <si>
    <t>Pimiento / Morrón</t>
  </si>
  <si>
    <t>ART-21</t>
  </si>
  <si>
    <t>Puerro</t>
  </si>
  <si>
    <t>ART-22</t>
  </si>
  <si>
    <t>Remolacha</t>
  </si>
  <si>
    <t>ART-23</t>
  </si>
  <si>
    <t>Repollo (Verde / Morado)</t>
  </si>
  <si>
    <t>Hortaliza de Hoja / Cabeza</t>
  </si>
  <si>
    <t>ART-24</t>
  </si>
  <si>
    <t>Rúcula</t>
  </si>
  <si>
    <t>ART-25</t>
  </si>
  <si>
    <t>Tomate</t>
  </si>
  <si>
    <t>ART-26</t>
  </si>
  <si>
    <t>Tomillo</t>
  </si>
  <si>
    <t>ART-27</t>
  </si>
  <si>
    <t>Zapallo</t>
  </si>
  <si>
    <t>PROD-018 - ALTAMIRANO SERGIO RAMIRO</t>
  </si>
  <si>
    <t>PROD-002</t>
  </si>
  <si>
    <t>AGUILANTE</t>
  </si>
  <si>
    <t>ALEJANDRA</t>
  </si>
  <si>
    <t>PROD-002 - AGUILANTE ALEJANDRA</t>
  </si>
  <si>
    <t>PROD-003</t>
  </si>
  <si>
    <t>JUAN</t>
  </si>
  <si>
    <t>PROD-003 - AGUILANTE JUAN</t>
  </si>
  <si>
    <t>PROD-004</t>
  </si>
  <si>
    <t>AGUILAR DELGADO</t>
  </si>
  <si>
    <t>JOSE DAVID</t>
  </si>
  <si>
    <t>Sí</t>
  </si>
  <si>
    <t>PROD-004 - AGUILAR DELGADO JOSE DAVID</t>
  </si>
  <si>
    <t>PROD-005</t>
  </si>
  <si>
    <t>AGUILAR</t>
  </si>
  <si>
    <t>PROD-005 - AGUILAR HUGO</t>
  </si>
  <si>
    <t>PROD-006</t>
  </si>
  <si>
    <t>IRENE</t>
  </si>
  <si>
    <t>PROD-006 - AGUILAR IRENE</t>
  </si>
  <si>
    <t>PROD-007</t>
  </si>
  <si>
    <t>AGUILAR OYARZUN</t>
  </si>
  <si>
    <t>LUIS FERNANDO</t>
  </si>
  <si>
    <t>PROD-007 - AGUILAR OYARZUN LUIS FERNANDO</t>
  </si>
  <si>
    <t>PROD-008</t>
  </si>
  <si>
    <t>AGUIRRE</t>
  </si>
  <si>
    <t>DAMIAN</t>
  </si>
  <si>
    <t>PROD-008 - AGUIRRE DAMIAN</t>
  </si>
  <si>
    <t>PROD-009</t>
  </si>
  <si>
    <t>AGUIRRES</t>
  </si>
  <si>
    <t>JORGE ANTONIO</t>
  </si>
  <si>
    <t>PROD-009 - AGUIRRES JORGE ANTONIO</t>
  </si>
  <si>
    <t>PROD-010</t>
  </si>
  <si>
    <t>AGURTO</t>
  </si>
  <si>
    <t>MAGALI</t>
  </si>
  <si>
    <t>PROD-010 - AGURTO MAGALI</t>
  </si>
  <si>
    <t>PROD-011</t>
  </si>
  <si>
    <t>ALA SOTO</t>
  </si>
  <si>
    <t>MICAELA</t>
  </si>
  <si>
    <t>PROD-011 - ALA SOTO MICAELA</t>
  </si>
  <si>
    <t>PROD-012</t>
  </si>
  <si>
    <t>ALAZARD</t>
  </si>
  <si>
    <t>MARTIN</t>
  </si>
  <si>
    <t>PROD-012 - ALAZARD MARTIN</t>
  </si>
  <si>
    <t>PROD-013</t>
  </si>
  <si>
    <t>ALBA HERNANDEZ</t>
  </si>
  <si>
    <t>NORMA EDITH</t>
  </si>
  <si>
    <t>PROD-013 - ALBA HERNANDEZ NORMA EDITH</t>
  </si>
  <si>
    <t>PROD-014</t>
  </si>
  <si>
    <t>ALBORNOZ</t>
  </si>
  <si>
    <t>FABIAN</t>
  </si>
  <si>
    <t>PROD-014 - ALBORNOZ FABIAN</t>
  </si>
  <si>
    <t>PROD-015</t>
  </si>
  <si>
    <t>ALDAVEZ</t>
  </si>
  <si>
    <t>MONICA</t>
  </si>
  <si>
    <t>PROD-015 - ALDAVEZ MONICA</t>
  </si>
  <si>
    <t>PROD-016</t>
  </si>
  <si>
    <t>ALMEYRA</t>
  </si>
  <si>
    <t>JUAN ANTONIO</t>
  </si>
  <si>
    <t>PROD-016 - ALMEYRA JUAN ANTONIO</t>
  </si>
  <si>
    <t>PROD-017</t>
  </si>
  <si>
    <t>ALONSO</t>
  </si>
  <si>
    <t>PABLO MARTIN</t>
  </si>
  <si>
    <t>PROD-017 - ALONSO PABLO MARTIN</t>
  </si>
  <si>
    <t>PROD-018</t>
  </si>
  <si>
    <t>ALTAMIRANO</t>
  </si>
  <si>
    <t>SERGIO RAMIRO</t>
  </si>
  <si>
    <t>PROD-019</t>
  </si>
  <si>
    <t>ALVARADO BUSTAMANTE</t>
  </si>
  <si>
    <t>NIBALDO</t>
  </si>
  <si>
    <t>PROD-019 - ALVARADO BUSTAMANTE NIBALDO</t>
  </si>
  <si>
    <t>PROD-020</t>
  </si>
  <si>
    <t>ALVARADO</t>
  </si>
  <si>
    <t>LILIANA</t>
  </si>
  <si>
    <t>PROD-020 - ALVARADO LILIANA</t>
  </si>
  <si>
    <t>PROD-021</t>
  </si>
  <si>
    <t>MELINA</t>
  </si>
  <si>
    <t>PROD-021 - ALVARADO MELINA</t>
  </si>
  <si>
    <t>PROD-022</t>
  </si>
  <si>
    <t>NIVALDO</t>
  </si>
  <si>
    <t>PROD-022 - ALVARADO NIVALDO</t>
  </si>
  <si>
    <t>PROD-023</t>
  </si>
  <si>
    <t>ALVARADO VARGAS</t>
  </si>
  <si>
    <t>MIGUEL ALFONSO</t>
  </si>
  <si>
    <t>PROD-023 - ALVARADO VARGAS MIGUEL ALFONSO</t>
  </si>
  <si>
    <t>PROD-024</t>
  </si>
  <si>
    <t>ALVARENGA</t>
  </si>
  <si>
    <t>ROSA MARGARITA</t>
  </si>
  <si>
    <t>PROD-024 - ALVARENGA ROSA MARGARITA</t>
  </si>
  <si>
    <t>PROD-025</t>
  </si>
  <si>
    <t>ALVAREZ</t>
  </si>
  <si>
    <t>REINALDO</t>
  </si>
  <si>
    <t>PROD-025 - ALVAREZ REINALDO</t>
  </si>
  <si>
    <t>PROD-026</t>
  </si>
  <si>
    <t>ALVAREZ VARGAS</t>
  </si>
  <si>
    <t>MARIA EDILIA</t>
  </si>
  <si>
    <t>PROD-026 - ALVAREZ VARGAS MARIA EDILIA</t>
  </si>
  <si>
    <t>PROD-027</t>
  </si>
  <si>
    <t>ALVEZ DA</t>
  </si>
  <si>
    <t>CRUZ ALEJANDRO MOISES</t>
  </si>
  <si>
    <t>PROD-027 - ALVEZ DA CRUZ ALEJANDRO MOISES</t>
  </si>
  <si>
    <t>PROD-028</t>
  </si>
  <si>
    <t>AMPUERO</t>
  </si>
  <si>
    <t>(Institución)</t>
  </si>
  <si>
    <t>PROD-028 - AMPUERO (Institución)</t>
  </si>
  <si>
    <t>PROD-029</t>
  </si>
  <si>
    <t>OJEDA</t>
  </si>
  <si>
    <t>ANA MARIA</t>
  </si>
  <si>
    <t>PROD-029 - OJEDA ANA MARIA</t>
  </si>
  <si>
    <t>PROD-030</t>
  </si>
  <si>
    <t>YUPARI PEÑAS</t>
  </si>
  <si>
    <t>ANA</t>
  </si>
  <si>
    <t>PROD-030 - YUPARI PEÑAS ANA</t>
  </si>
  <si>
    <t>PROD-031</t>
  </si>
  <si>
    <t>ANDRADA</t>
  </si>
  <si>
    <t>NORMA</t>
  </si>
  <si>
    <t>PROD-031 - ANDRADA NORMA</t>
  </si>
  <si>
    <t>PROD-032</t>
  </si>
  <si>
    <t>PERFECTO</t>
  </si>
  <si>
    <t>PROD-032 - ANDRADA PERFECTO</t>
  </si>
  <si>
    <t>PROD-033</t>
  </si>
  <si>
    <t>ANDRADE ANDRADE</t>
  </si>
  <si>
    <t>NELSON AMADO</t>
  </si>
  <si>
    <t>PROD-033 - ANDRADE ANDRADE NELSON AMADO</t>
  </si>
  <si>
    <t>PROD-034</t>
  </si>
  <si>
    <t>VIVAR RACH</t>
  </si>
  <si>
    <t>ANDREA</t>
  </si>
  <si>
    <t>PROD-034 - VIVAR RACH ANDREA</t>
  </si>
  <si>
    <t>PROD-035</t>
  </si>
  <si>
    <t>ANSALDI</t>
  </si>
  <si>
    <t>ALDO</t>
  </si>
  <si>
    <t>PROD-035 - ANSALDI ALDO</t>
  </si>
  <si>
    <t>PROD-036</t>
  </si>
  <si>
    <t>ARANIBAR</t>
  </si>
  <si>
    <t>CRISTIAN</t>
  </si>
  <si>
    <t>PROD-036 - ARANIBAR CRISTIAN</t>
  </si>
  <si>
    <t>PROD-037</t>
  </si>
  <si>
    <t>ARAOZ CORI</t>
  </si>
  <si>
    <t>VICTOR</t>
  </si>
  <si>
    <t>PROD-037 - ARAOZ CORI VICTOR</t>
  </si>
  <si>
    <t>PROD-038</t>
  </si>
  <si>
    <t>ARCE</t>
  </si>
  <si>
    <t>FERNANDO</t>
  </si>
  <si>
    <t>PROD-038 - ARCE FERNANDO</t>
  </si>
  <si>
    <t>PROD-039</t>
  </si>
  <si>
    <t>ARIAS</t>
  </si>
  <si>
    <t>MIGUEL ANGEL</t>
  </si>
  <si>
    <t>PROD-039 - ARIAS MIGUEL ANGEL</t>
  </si>
  <si>
    <t>PROD-040</t>
  </si>
  <si>
    <t>NANCY</t>
  </si>
  <si>
    <t>PROD-040 - ARIAS NANCY</t>
  </si>
  <si>
    <t>PROD-041</t>
  </si>
  <si>
    <t>ARRIAGADA</t>
  </si>
  <si>
    <t>ABEL SEGUNDO</t>
  </si>
  <si>
    <t>PROD-041 - ARRIAGADA ABEL SEGUNDO</t>
  </si>
  <si>
    <t>PROD-042</t>
  </si>
  <si>
    <t>CARLOS</t>
  </si>
  <si>
    <t>PROD-042 - ARRIAGADA CARLOS</t>
  </si>
  <si>
    <t>PROD-043</t>
  </si>
  <si>
    <t>HERNAN</t>
  </si>
  <si>
    <t>PROD-043 - ARRIAGADA HERNAN</t>
  </si>
  <si>
    <t>PROD-044</t>
  </si>
  <si>
    <t>ARRIAGADA HERNANDEZ</t>
  </si>
  <si>
    <t>BERTA MARCELA</t>
  </si>
  <si>
    <t>PROD-044 - ARRIAGADA HERNANDEZ BERTA MARCELA</t>
  </si>
  <si>
    <t>PROD-045</t>
  </si>
  <si>
    <t>ASTORGA SALDIVIA</t>
  </si>
  <si>
    <t>SERGIO ADRIAN</t>
  </si>
  <si>
    <t>PROD-045 - ASTORGA SALDIVIA SERGIO ADRIAN</t>
  </si>
  <si>
    <t>PROD-046</t>
  </si>
  <si>
    <t>ASTORGA</t>
  </si>
  <si>
    <t>YESSICA</t>
  </si>
  <si>
    <t>PROD-046 - ASTORGA YESSICA</t>
  </si>
  <si>
    <t>PROD-047</t>
  </si>
  <si>
    <t>AYAN GODOY</t>
  </si>
  <si>
    <t>JUAN ALEJANDRO</t>
  </si>
  <si>
    <t>PROD-047 - AYAN GODOY JUAN ALEJANDRO</t>
  </si>
  <si>
    <t>PROD-048</t>
  </si>
  <si>
    <t>AYAQUINTUY BARRIENTOS</t>
  </si>
  <si>
    <t>JOSE LEOPOLDO</t>
  </si>
  <si>
    <t>PROD-048 - AYAQUINTUY BARRIENTOS JOSE LEOPOLDO</t>
  </si>
  <si>
    <t>PROD-049</t>
  </si>
  <si>
    <t>BACIIOCCHI</t>
  </si>
  <si>
    <t>JOSE LUIS</t>
  </si>
  <si>
    <t>PROD-049 - BACIIOCCHI JOSE LUIS</t>
  </si>
  <si>
    <t>PROD-050</t>
  </si>
  <si>
    <t>BAHAMONDE NAVARRO</t>
  </si>
  <si>
    <t>JUAN PEDRO</t>
  </si>
  <si>
    <t>PROD-050 - BAHAMONDE NAVARRO JUAN PEDRO</t>
  </si>
  <si>
    <t>PROD-051</t>
  </si>
  <si>
    <t>BAKUN</t>
  </si>
  <si>
    <t>PROD-051 - BAKUN JOSE LUIS</t>
  </si>
  <si>
    <t>PROD-052</t>
  </si>
  <si>
    <t>BALCAZAR VILLARROEL</t>
  </si>
  <si>
    <t>SILVIA DEL CARMEN</t>
  </si>
  <si>
    <t>PROD-052 - BALCAZAR VILLARROEL SILVIA DEL CARMEN</t>
  </si>
  <si>
    <t>PROD-053</t>
  </si>
  <si>
    <t>BALDERRAMA</t>
  </si>
  <si>
    <t>PATRICIA LILIANA</t>
  </si>
  <si>
    <t>PROD-053 - BALDERRAMA PATRICIA LILIANA</t>
  </si>
  <si>
    <t>PROD-054</t>
  </si>
  <si>
    <t>BARRIA CALISTO</t>
  </si>
  <si>
    <t>ORLANDO</t>
  </si>
  <si>
    <t>PROD-054 - BARRIA CALISTO ORLANDO</t>
  </si>
  <si>
    <t>PROD-055</t>
  </si>
  <si>
    <t>BARRIA</t>
  </si>
  <si>
    <t>FRANCISCO</t>
  </si>
  <si>
    <t>PROD-055 - BARRIA FRANCISCO</t>
  </si>
  <si>
    <t>PROD-056</t>
  </si>
  <si>
    <t>BARRIA GLADYS</t>
  </si>
  <si>
    <t>DEL CARMEN</t>
  </si>
  <si>
    <t>PROD-056 - BARRIA GLADYS DEL CARMEN</t>
  </si>
  <si>
    <t>PROD-057</t>
  </si>
  <si>
    <t>LUIS ELIBERTO</t>
  </si>
  <si>
    <t>PROD-057 - BARRIA LUIS ELIBERTO</t>
  </si>
  <si>
    <t>PROD-058</t>
  </si>
  <si>
    <t>BARRIA VITO</t>
  </si>
  <si>
    <t>VIVIANA ANDREA</t>
  </si>
  <si>
    <t>PROD-058 - BARRIA VITO VIVIANA ANDREA</t>
  </si>
  <si>
    <t>PROD-059</t>
  </si>
  <si>
    <t>BARRIENTOS</t>
  </si>
  <si>
    <t>ANA ROSA</t>
  </si>
  <si>
    <t>PROD-059 - BARRIENTOS ANA ROSA</t>
  </si>
  <si>
    <t>PROD-060</t>
  </si>
  <si>
    <t>MARIA</t>
  </si>
  <si>
    <t>PROD-060 - BARRIENTOS MARIA</t>
  </si>
  <si>
    <t>PROD-061</t>
  </si>
  <si>
    <t>BARRIENTOS RUIZ</t>
  </si>
  <si>
    <t>JUAN FRANCISCO</t>
  </si>
  <si>
    <t>PROD-061 - BARRIENTOS RUIZ JUAN FRANCISCO</t>
  </si>
  <si>
    <t>PROD-062</t>
  </si>
  <si>
    <t>BAZAN</t>
  </si>
  <si>
    <t>CLAUDIA DANIELA</t>
  </si>
  <si>
    <t>PROD-062 - BAZAN CLAUDIA DANIELA</t>
  </si>
  <si>
    <t>PROD-063</t>
  </si>
  <si>
    <t>BENITEZ</t>
  </si>
  <si>
    <t>ALEJANDRA BEATRIZ</t>
  </si>
  <si>
    <t>PROD-063 - BENITEZ ALEJANDRA BEATRIZ</t>
  </si>
  <si>
    <t>PROD-064</t>
  </si>
  <si>
    <t>CARLOS HUGO</t>
  </si>
  <si>
    <t>PROD-064 - BENITEZ CARLOS HUGO</t>
  </si>
  <si>
    <t>PROD-065</t>
  </si>
  <si>
    <t>MAGDALENA</t>
  </si>
  <si>
    <t>PROD-065 - BENITEZ MAGDALENA</t>
  </si>
  <si>
    <t>PROD-066</t>
  </si>
  <si>
    <t>MONICA AZUCENA</t>
  </si>
  <si>
    <t>PROD-066 - BENITEZ MONICA AZUCENA</t>
  </si>
  <si>
    <t>PROD-067</t>
  </si>
  <si>
    <t>NATALIA</t>
  </si>
  <si>
    <t>PROD-067 - BENITEZ NATALIA</t>
  </si>
  <si>
    <t>PROD-068</t>
  </si>
  <si>
    <t>BONIFACIO</t>
  </si>
  <si>
    <t>OSCAR</t>
  </si>
  <si>
    <t>PROD-068 - BONIFACIO OSCAR</t>
  </si>
  <si>
    <t>PROD-069</t>
  </si>
  <si>
    <t>BORDON</t>
  </si>
  <si>
    <t>ALEJANDRO</t>
  </si>
  <si>
    <t>PROD-069 - BORDON ALEJANDRO</t>
  </si>
  <si>
    <t>PROD-070</t>
  </si>
  <si>
    <t>BOSCOVICH</t>
  </si>
  <si>
    <t>PROD-070 - BOSCOVICH (Institución)</t>
  </si>
  <si>
    <t>PROD-071</t>
  </si>
  <si>
    <t>BURGOS</t>
  </si>
  <si>
    <t>FACUNDO MIGUEL</t>
  </si>
  <si>
    <t>PROD-071 - BURGOS FACUNDO MIGUEL</t>
  </si>
  <si>
    <t>PROD-072</t>
  </si>
  <si>
    <t>BUSTAMANTE VELASQUEZ</t>
  </si>
  <si>
    <t>MARIA CRISTINA</t>
  </si>
  <si>
    <t>PROD-072 - BUSTAMANTE VELASQUEZ MARIA CRISTINA</t>
  </si>
  <si>
    <t>PROD-073</t>
  </si>
  <si>
    <t>CAAD</t>
  </si>
  <si>
    <t>PROD-073 - CAAD (Institución)</t>
  </si>
  <si>
    <t>PROD-074</t>
  </si>
  <si>
    <t>CABAÑA</t>
  </si>
  <si>
    <t>PEDRO LUIS</t>
  </si>
  <si>
    <t>PROD-074 - CABAÑA PEDRO LUIS</t>
  </si>
  <si>
    <t>PROD-075</t>
  </si>
  <si>
    <t>CABRERA</t>
  </si>
  <si>
    <t>MARIO</t>
  </si>
  <si>
    <t>PROD-075 - CABRERA MARIO</t>
  </si>
  <si>
    <t>PROD-076</t>
  </si>
  <si>
    <t>CAIRE</t>
  </si>
  <si>
    <t>PROD-076 - CAIRE MARIO</t>
  </si>
  <si>
    <t>PROD-077</t>
  </si>
  <si>
    <t>CALISTO</t>
  </si>
  <si>
    <t>CANDELARIA</t>
  </si>
  <si>
    <t>PROD-077 - CALISTO CANDELARIA</t>
  </si>
  <si>
    <t>PROD-078</t>
  </si>
  <si>
    <t>PROD-078 - CALISTO MARIA</t>
  </si>
  <si>
    <t>PROD-079</t>
  </si>
  <si>
    <t>CALIZAYA</t>
  </si>
  <si>
    <t>FLORENTINO</t>
  </si>
  <si>
    <t>PROD-079 - CALIZAYA FLORENTINO</t>
  </si>
  <si>
    <t>PROD-080</t>
  </si>
  <si>
    <t>CAMACHO INDIA</t>
  </si>
  <si>
    <t>TITO</t>
  </si>
  <si>
    <t>PROD-080 - CAMACHO INDIA TITO</t>
  </si>
  <si>
    <t>PROD-081</t>
  </si>
  <si>
    <t>CAMACHO</t>
  </si>
  <si>
    <t>SILVIA SUSANA</t>
  </si>
  <si>
    <t>PROD-081 - CAMACHO SILVIA SUSANA</t>
  </si>
  <si>
    <t>PROD-082</t>
  </si>
  <si>
    <t>CANGA</t>
  </si>
  <si>
    <t>MARIA TERESA</t>
  </si>
  <si>
    <t>PROD-082 - CANGA MARIA TERESA</t>
  </si>
  <si>
    <t>PROD-083</t>
  </si>
  <si>
    <t>CARCAMO</t>
  </si>
  <si>
    <t>MARCELA ALEJANDRA</t>
  </si>
  <si>
    <t>PROD-083 - CARCAMO MARCELA ALEJANDRA</t>
  </si>
  <si>
    <t>PROD-084</t>
  </si>
  <si>
    <t>NADIA</t>
  </si>
  <si>
    <t>PROD-084 - CARCAMO NADIA</t>
  </si>
  <si>
    <t>PROD-085</t>
  </si>
  <si>
    <t>CARDENAS ALMONACID</t>
  </si>
  <si>
    <t>LUIS MIGUEL</t>
  </si>
  <si>
    <t>PROD-085 - CARDENAS ALMONACID LUIS MIGUEL</t>
  </si>
  <si>
    <t>PROD-086</t>
  </si>
  <si>
    <t>CARDENAS DIAZ</t>
  </si>
  <si>
    <t>VIVIANA MARCELA</t>
  </si>
  <si>
    <t>PROD-086 - CARDENAS DIAZ VIVIANA MARCELA</t>
  </si>
  <si>
    <t>PROD-087</t>
  </si>
  <si>
    <t>CARDENAS</t>
  </si>
  <si>
    <t>KARINA</t>
  </si>
  <si>
    <t>PROD-087 - CARDENAS KARINA</t>
  </si>
  <si>
    <t>PROD-088</t>
  </si>
  <si>
    <t>MARIA ANGELICA</t>
  </si>
  <si>
    <t>PROD-088 - CARDENAS MARIA ANGELICA</t>
  </si>
  <si>
    <t>PROD-089</t>
  </si>
  <si>
    <t>VERONICA PILAR</t>
  </si>
  <si>
    <t>PROD-089 - CARDENAS VERONICA PILAR</t>
  </si>
  <si>
    <t>PROD-090</t>
  </si>
  <si>
    <t>RODRIGUEZ</t>
  </si>
  <si>
    <t>CARLOS ANTONIO</t>
  </si>
  <si>
    <t>PROD-090 - RODRIGUEZ CARLOS ANTONIO</t>
  </si>
  <si>
    <t>PROD-091</t>
  </si>
  <si>
    <t>VERATEGUA VERA</t>
  </si>
  <si>
    <t>CARLOS RENE</t>
  </si>
  <si>
    <t>PROD-091 - VERATEGUA VERA CARLOS RENE</t>
  </si>
  <si>
    <t>PROD-092</t>
  </si>
  <si>
    <t>CARRASCO MARIA</t>
  </si>
  <si>
    <t>DEL PILAR</t>
  </si>
  <si>
    <t>PROD-092 - CARRASCO MARIA DEL PILAR</t>
  </si>
  <si>
    <t>PROD-093</t>
  </si>
  <si>
    <t>CARRILLO</t>
  </si>
  <si>
    <t>GUSTAVO ALEJANDRO</t>
  </si>
  <si>
    <t>PROD-093 - CARRILLO GUSTAVO ALEJANDRO</t>
  </si>
  <si>
    <t>PROD-094</t>
  </si>
  <si>
    <t>CARRIZO</t>
  </si>
  <si>
    <t>ORLANDO ZOE</t>
  </si>
  <si>
    <t>PROD-094 - CARRIZO ORLANDO ZOE</t>
  </si>
  <si>
    <t>PROD-095</t>
  </si>
  <si>
    <t>CASA DE JOVENES</t>
  </si>
  <si>
    <t>PROD-095 - CASA DE JOVENES (Institución)</t>
  </si>
  <si>
    <t>PROD-096</t>
  </si>
  <si>
    <t>CASANOVA</t>
  </si>
  <si>
    <t>MARIA ESTHER</t>
  </si>
  <si>
    <t>PROD-096 - CASANOVA MARIA ESTHER</t>
  </si>
  <si>
    <t>PROD-097</t>
  </si>
  <si>
    <t>CASTILLO</t>
  </si>
  <si>
    <t>GUSTAVO PABLO</t>
  </si>
  <si>
    <t>PROD-097 - CASTILLO GUSTAVO PABLO</t>
  </si>
  <si>
    <t>PROD-098</t>
  </si>
  <si>
    <t>CEDRON</t>
  </si>
  <si>
    <t>MARCOS</t>
  </si>
  <si>
    <t>PROD-098 - CEDRON MARCOS</t>
  </si>
  <si>
    <t>PROD-099</t>
  </si>
  <si>
    <t>CENTURION</t>
  </si>
  <si>
    <t>HUMBERTO</t>
  </si>
  <si>
    <t>PROD-099 - CENTURION HUMBERTO</t>
  </si>
  <si>
    <t>PROD-100</t>
  </si>
  <si>
    <t>CHAMORRO</t>
  </si>
  <si>
    <t>ZUNILFO</t>
  </si>
  <si>
    <t>PROD-100 - CHAMORRO ZUNILFO</t>
  </si>
  <si>
    <t>PROD-101</t>
  </si>
  <si>
    <t>CHANQUE</t>
  </si>
  <si>
    <t>RODOLFO</t>
  </si>
  <si>
    <t>PROD-101 - CHANQUE RODOLFO</t>
  </si>
  <si>
    <t>PROD-102</t>
  </si>
  <si>
    <t>CHAPU</t>
  </si>
  <si>
    <t>PROD-102 - CHAPU (Institución)</t>
  </si>
  <si>
    <t>PROD-103</t>
  </si>
  <si>
    <t>CHAVEZ</t>
  </si>
  <si>
    <t>HORACIO</t>
  </si>
  <si>
    <t>PROD-103 - CHAVEZ HORACIO</t>
  </si>
  <si>
    <t>PROD-104</t>
  </si>
  <si>
    <t>CHICLANA</t>
  </si>
  <si>
    <t>GERARDO SOLANO</t>
  </si>
  <si>
    <t>PROD-104 - CHICLANA GERARDO SOLANO</t>
  </si>
  <si>
    <t>PROD-105</t>
  </si>
  <si>
    <t>CHOCOBAR</t>
  </si>
  <si>
    <t>FREDY MAXI</t>
  </si>
  <si>
    <t>PROD-105 - CHOCOBAR FREDY MAXI</t>
  </si>
  <si>
    <t>PROD-106</t>
  </si>
  <si>
    <t>COLEGIO ANTARTIDA ARGENTINA</t>
  </si>
  <si>
    <t>PROD-106 - COLEGIO ANTARTIDA ARGENTINA (Institución)</t>
  </si>
  <si>
    <t>PROD-107</t>
  </si>
  <si>
    <t>COLOANE COLOANE</t>
  </si>
  <si>
    <t>LUCIA</t>
  </si>
  <si>
    <t>PROD-107 - COLOANE COLOANE LUCIA</t>
  </si>
  <si>
    <t>PROD-108</t>
  </si>
  <si>
    <t>CORONADO NAVARRO</t>
  </si>
  <si>
    <t>CECILIA TAMARA</t>
  </si>
  <si>
    <t>PROD-108 - CORONADO NAVARRO CECILIA TAMARA</t>
  </si>
  <si>
    <t>PROD-109</t>
  </si>
  <si>
    <t>COSTA RUBIN</t>
  </si>
  <si>
    <t>NELSON</t>
  </si>
  <si>
    <t>PROD-109 - COSTA RUBIN NELSON</t>
  </si>
  <si>
    <t>PROD-110</t>
  </si>
  <si>
    <t>COTO</t>
  </si>
  <si>
    <t>PROD-110 - COTO HORACIO</t>
  </si>
  <si>
    <t>PROD-111</t>
  </si>
  <si>
    <t>CUELLO</t>
  </si>
  <si>
    <t>ISABEL MERCEDES</t>
  </si>
  <si>
    <t>PROD-111 - CUELLO ISABEL MERCEDES</t>
  </si>
  <si>
    <t>PROD-112</t>
  </si>
  <si>
    <t>CULUN</t>
  </si>
  <si>
    <t>PROD-112 - CULUN MARIA</t>
  </si>
  <si>
    <t>PROD-113</t>
  </si>
  <si>
    <t>DALLE TEZZE</t>
  </si>
  <si>
    <t>MARIA AMELIA TERESITA</t>
  </si>
  <si>
    <t>PROD-113 - DALLE TEZZE MARIA AMELIA TERESITA</t>
  </si>
  <si>
    <t>PROD-114</t>
  </si>
  <si>
    <t>ROSTAGNO</t>
  </si>
  <si>
    <t>DANIEL DOMINGO</t>
  </si>
  <si>
    <t>PROD-114 - ROSTAGNO DANIEL DOMINGO</t>
  </si>
  <si>
    <t>PROD-115</t>
  </si>
  <si>
    <t>DELGADO</t>
  </si>
  <si>
    <t>PROD-115 - DELGADO MARIA</t>
  </si>
  <si>
    <t>PROD-116</t>
  </si>
  <si>
    <t>DIAZ CUEVAS</t>
  </si>
  <si>
    <t>RENE DAVID</t>
  </si>
  <si>
    <t>PROD-116 - DIAZ CUEVAS RENE DAVID</t>
  </si>
  <si>
    <t>PROD-117</t>
  </si>
  <si>
    <t>DIAZ DIAZ</t>
  </si>
  <si>
    <t>JUAN BAUTISTA</t>
  </si>
  <si>
    <t>PROD-117 - DIAZ DIAZ JUAN BAUTISTA</t>
  </si>
  <si>
    <t>PROD-118</t>
  </si>
  <si>
    <t>DIAZ TORRES</t>
  </si>
  <si>
    <t>DANIEL ADRIAN</t>
  </si>
  <si>
    <t>PROD-118 - DIAZ TORRES DANIEL ADRIAN</t>
  </si>
  <si>
    <t>PROD-119</t>
  </si>
  <si>
    <t>DIEZ DE</t>
  </si>
  <si>
    <t>LOS RIOS GUSTAVO</t>
  </si>
  <si>
    <t>PROD-119 - DIEZ DE LOS RIOS GUSTAVO</t>
  </si>
  <si>
    <t>PROD-120</t>
  </si>
  <si>
    <t>LEVICOY MAYORGA</t>
  </si>
  <si>
    <t>ELENA DEL ROSARIO</t>
  </si>
  <si>
    <t>PROD-120 - LEVICOY MAYORGA ELENA DEL ROSARIO</t>
  </si>
  <si>
    <t>PROD-121</t>
  </si>
  <si>
    <t>ENCHIERRE</t>
  </si>
  <si>
    <t>FRANCISCO GASTON</t>
  </si>
  <si>
    <t>PROD-121 - ENCHIERRE FRANCISCO GASTON</t>
  </si>
  <si>
    <t>PROD-122</t>
  </si>
  <si>
    <t>ESPINDOLA</t>
  </si>
  <si>
    <t>RAMONA ALBERTA</t>
  </si>
  <si>
    <t>PROD-122 - ESPINDOLA RAMONA ALBERTA</t>
  </si>
  <si>
    <t>PROD-123</t>
  </si>
  <si>
    <t>ESTANCIA DESPEDIDA</t>
  </si>
  <si>
    <t>PROD-123 - ESTANCIA DESPEDIDA (Institución)</t>
  </si>
  <si>
    <t>PROD-124</t>
  </si>
  <si>
    <t>ESTANCIA SAN(PABLO)</t>
  </si>
  <si>
    <t>PROD-124 - ESTANCIA SAN(PABLO) (Institución)</t>
  </si>
  <si>
    <t>PROD-125</t>
  </si>
  <si>
    <t>MENCIA</t>
  </si>
  <si>
    <t>ESTEBAN</t>
  </si>
  <si>
    <t>PROD-125 - MENCIA ESTEBAN</t>
  </si>
  <si>
    <t>PROD-126</t>
  </si>
  <si>
    <t>URIBE GONZALEZ</t>
  </si>
  <si>
    <t>EVELIN SOLANGE</t>
  </si>
  <si>
    <t>PROD-126 - URIBE GONZALEZ EVELIN SOLANGE</t>
  </si>
  <si>
    <t>PROD-127</t>
  </si>
  <si>
    <t>FERNANDEZ</t>
  </si>
  <si>
    <t>BELEN</t>
  </si>
  <si>
    <t>PROD-127 - FERNANDEZ BELEN</t>
  </si>
  <si>
    <t>PROD-128</t>
  </si>
  <si>
    <t>NATALIA DANIELA</t>
  </si>
  <si>
    <t>PROD-128 - FERNANDEZ NATALIA DANIELA</t>
  </si>
  <si>
    <t>PROD-129</t>
  </si>
  <si>
    <t>FERRO</t>
  </si>
  <si>
    <t>FRANCISCO ANDRES</t>
  </si>
  <si>
    <t>PROD-129 - FERRO FRANCISCO ANDRES</t>
  </si>
  <si>
    <t>PROD-130</t>
  </si>
  <si>
    <t>FIGUEREDO</t>
  </si>
  <si>
    <t>ELVIO GABRIEL</t>
  </si>
  <si>
    <t>PROD-130 - FIGUEREDO ELVIO GABRIEL</t>
  </si>
  <si>
    <t>PROD-131</t>
  </si>
  <si>
    <t>FIGUEROA</t>
  </si>
  <si>
    <t>CARLOS MARIO</t>
  </si>
  <si>
    <t>PROD-131 - FIGUEROA CARLOS MARIO</t>
  </si>
  <si>
    <t>PROD-132</t>
  </si>
  <si>
    <t>FISHER</t>
  </si>
  <si>
    <t>JACOBO</t>
  </si>
  <si>
    <t>PROD-132 - FISHER JACOBO</t>
  </si>
  <si>
    <t>PROD-133</t>
  </si>
  <si>
    <t>FLEITA</t>
  </si>
  <si>
    <t>PROD-133 - FLEITA MIGUEL ANGEL</t>
  </si>
  <si>
    <t>PROD-134</t>
  </si>
  <si>
    <t>FLEITAS</t>
  </si>
  <si>
    <t>GUSTAVO</t>
  </si>
  <si>
    <t>PROD-134 - FLEITAS GUSTAVO</t>
  </si>
  <si>
    <t>PROD-135</t>
  </si>
  <si>
    <t>FLORES GONZALEZ</t>
  </si>
  <si>
    <t>PROD-135 - FLORES GONZALEZ FERNANDO</t>
  </si>
  <si>
    <t>PROD-136</t>
  </si>
  <si>
    <t>FLORES</t>
  </si>
  <si>
    <t>RODOLFO VALENTIN</t>
  </si>
  <si>
    <t>PROD-136 - FLORES RODOLFO VALENTIN</t>
  </si>
  <si>
    <t>PROD-137</t>
  </si>
  <si>
    <t>VIOLETA</t>
  </si>
  <si>
    <t>PROD-137 - FLORES VIOLETA</t>
  </si>
  <si>
    <t>PROD-138</t>
  </si>
  <si>
    <t>FRIAS FLORES</t>
  </si>
  <si>
    <t>NATALIA CAROLINA</t>
  </si>
  <si>
    <t>PROD-138 - FRIAS FLORES NATALIA CAROLINA</t>
  </si>
  <si>
    <t>PROD-139</t>
  </si>
  <si>
    <t>FRUTOS</t>
  </si>
  <si>
    <t>OCTAVIO JAVIER</t>
  </si>
  <si>
    <t>PROD-139 - FRUTOS OCTAVIO JAVIER</t>
  </si>
  <si>
    <t>PROD-140</t>
  </si>
  <si>
    <t>FUENTES</t>
  </si>
  <si>
    <t>CARMEN</t>
  </si>
  <si>
    <t>PROD-140 - FUENTES CARMEN</t>
  </si>
  <si>
    <t>PROD-141</t>
  </si>
  <si>
    <t>FUENTES OYARZO</t>
  </si>
  <si>
    <t>PROD-141 - FUENTES OYARZO CARMEN</t>
  </si>
  <si>
    <t>PROD-142</t>
  </si>
  <si>
    <t>PATRICIA</t>
  </si>
  <si>
    <t>PROD-142 - FUENTES PATRICIA</t>
  </si>
  <si>
    <t>PROD-143</t>
  </si>
  <si>
    <t>GALARZA</t>
  </si>
  <si>
    <t>NILDA NOEMÍ</t>
  </si>
  <si>
    <t>PROD-143 - GALARZA NILDA NOEMÍ</t>
  </si>
  <si>
    <t>PROD-144</t>
  </si>
  <si>
    <t>GALLARDO OYARZO</t>
  </si>
  <si>
    <t>PATRICIA SILVANA</t>
  </si>
  <si>
    <t>PROD-144 - GALLARDO OYARZO PATRICIA SILVANA</t>
  </si>
  <si>
    <t>PROD-145</t>
  </si>
  <si>
    <t>GARAY</t>
  </si>
  <si>
    <t>JOSE</t>
  </si>
  <si>
    <t>PROD-145 - GARAY JOSE</t>
  </si>
  <si>
    <t>PROD-146</t>
  </si>
  <si>
    <t>GARCIA</t>
  </si>
  <si>
    <t>CLAUDIA ROSANA</t>
  </si>
  <si>
    <t>PROD-146 - GARCIA CLAUDIA ROSANA</t>
  </si>
  <si>
    <t>PROD-147</t>
  </si>
  <si>
    <t>GARECA ORTIZ</t>
  </si>
  <si>
    <t>ELENA</t>
  </si>
  <si>
    <t>PROD-147 - GARECA ORTIZ ELENA</t>
  </si>
  <si>
    <t>PROD-148</t>
  </si>
  <si>
    <t>CHEAMA</t>
  </si>
  <si>
    <t>GASTON</t>
  </si>
  <si>
    <t>PROD-148 - CHEAMA GASTON</t>
  </si>
  <si>
    <t>PROD-149</t>
  </si>
  <si>
    <t>GAUNA</t>
  </si>
  <si>
    <t>SABRINA GISELE</t>
  </si>
  <si>
    <t>PROD-149 - GAUNA SABRINA GISELE</t>
  </si>
  <si>
    <t>PROD-150</t>
  </si>
  <si>
    <t>GIANCARLI</t>
  </si>
  <si>
    <t>ANIBAL</t>
  </si>
  <si>
    <t>PROD-150 - GIANCARLI ANIBAL</t>
  </si>
  <si>
    <t>PROD-151</t>
  </si>
  <si>
    <t>GIULIANI ISAIAS</t>
  </si>
  <si>
    <t>DANTE ISMAEL</t>
  </si>
  <si>
    <t>PROD-151 - GIULIANI ISAIAS DANTE ISMAEL</t>
  </si>
  <si>
    <t>PROD-152</t>
  </si>
  <si>
    <t>GODOY XIMENA</t>
  </si>
  <si>
    <t>GUADALUPE SOLEDAD</t>
  </si>
  <si>
    <t>PROD-152 - GODOY XIMENA GUADALUPE SOLEDAD</t>
  </si>
  <si>
    <t>PROD-153</t>
  </si>
  <si>
    <t>GOICOCHEA</t>
  </si>
  <si>
    <t>CARLOS ALBERTO</t>
  </si>
  <si>
    <t>PROD-153 - GOICOCHEA CARLOS ALBERTO</t>
  </si>
  <si>
    <t>PROD-154</t>
  </si>
  <si>
    <t>GOMEZ</t>
  </si>
  <si>
    <t>CARLOS EDUARDO</t>
  </si>
  <si>
    <t>PROD-154 - GOMEZ CARLOS EDUARDO</t>
  </si>
  <si>
    <t>PROD-155</t>
  </si>
  <si>
    <t>JONATAN ANDRES</t>
  </si>
  <si>
    <t>PROD-155 - GOMEZ JONATAN ANDRES</t>
  </si>
  <si>
    <t>PROD-156</t>
  </si>
  <si>
    <t>JOSE ALEX</t>
  </si>
  <si>
    <t>PROD-156 - GOMEZ JOSE ALEX</t>
  </si>
  <si>
    <t>PROD-157</t>
  </si>
  <si>
    <t>RITA VERONICA</t>
  </si>
  <si>
    <t>PROD-157 - GOMEZ RITA VERONICA</t>
  </si>
  <si>
    <t>PROD-158</t>
  </si>
  <si>
    <t>SANDRA GRISELDA</t>
  </si>
  <si>
    <t>PROD-158 - GOMEZ SANDRA GRISELDA</t>
  </si>
  <si>
    <t>PROD-159</t>
  </si>
  <si>
    <t>GONZALES</t>
  </si>
  <si>
    <t>FERMIN</t>
  </si>
  <si>
    <t>PROD-159 - GONZALES FERMIN</t>
  </si>
  <si>
    <t>PROD-160</t>
  </si>
  <si>
    <t>PROD-160 - GONZALES JUAN</t>
  </si>
  <si>
    <t>PROD-161</t>
  </si>
  <si>
    <t>GONZALEZ CARCAMO</t>
  </si>
  <si>
    <t>NEILA ERMITA</t>
  </si>
  <si>
    <t>PROD-161 - GONZALEZ CARCAMO NEILA ERMITA</t>
  </si>
  <si>
    <t>PROD-162</t>
  </si>
  <si>
    <t>GONZALEZ CARO</t>
  </si>
  <si>
    <t>PEDRO HERNANDO</t>
  </si>
  <si>
    <t>PROD-162 - GONZALEZ CARO PEDRO HERNANDO</t>
  </si>
  <si>
    <t>PROD-163</t>
  </si>
  <si>
    <t>GONZALEZ</t>
  </si>
  <si>
    <t>DANTE OMAR</t>
  </si>
  <si>
    <t>PROD-163 - GONZALEZ DANTE OMAR</t>
  </si>
  <si>
    <t>PROD-164</t>
  </si>
  <si>
    <t>DARIO GUSTAVO</t>
  </si>
  <si>
    <t>PROD-164 - GONZALEZ DARIO GUSTAVO</t>
  </si>
  <si>
    <t>PROD-165</t>
  </si>
  <si>
    <t>GONZALEZ FLORES</t>
  </si>
  <si>
    <t>PROD-165 - GONZALEZ FLORES JUAN ANTONIO</t>
  </si>
  <si>
    <t>PROD-166</t>
  </si>
  <si>
    <t>JUAN SEGUNDO</t>
  </si>
  <si>
    <t>PROD-166 - GONZALEZ JUAN SEGUNDO</t>
  </si>
  <si>
    <t>PROD-167</t>
  </si>
  <si>
    <t>GONZALEZ LARA</t>
  </si>
  <si>
    <t>AYELEN</t>
  </si>
  <si>
    <t>PROD-167 - GONZALEZ LARA AYELEN</t>
  </si>
  <si>
    <t>PROD-168</t>
  </si>
  <si>
    <t>GONZALEZ MANCILLO</t>
  </si>
  <si>
    <t>VICENTE</t>
  </si>
  <si>
    <t>PROD-168 - GONZALEZ MANCILLO VICENTE</t>
  </si>
  <si>
    <t>PROD-169</t>
  </si>
  <si>
    <t>GONZALEZ PINO</t>
  </si>
  <si>
    <t>HECTOR DAVID</t>
  </si>
  <si>
    <t>PROD-169 - GONZALEZ PINO HECTOR DAVID</t>
  </si>
  <si>
    <t>PROD-170</t>
  </si>
  <si>
    <t>GOROSITO</t>
  </si>
  <si>
    <t>MARTA</t>
  </si>
  <si>
    <t>PROD-170 - GOROSITO MARTA</t>
  </si>
  <si>
    <t>PROD-171</t>
  </si>
  <si>
    <t>OYARZO</t>
  </si>
  <si>
    <t>GRACIELA</t>
  </si>
  <si>
    <t>PROD-171 - OYARZO GRACIELA</t>
  </si>
  <si>
    <t>PROD-172</t>
  </si>
  <si>
    <t>GUALA GUALA</t>
  </si>
  <si>
    <t>SERGIO JOSE</t>
  </si>
  <si>
    <t>PROD-172 - GUALA GUALA SERGIO JOSE</t>
  </si>
  <si>
    <t>PROD-173</t>
  </si>
  <si>
    <t>GUAQUIN</t>
  </si>
  <si>
    <t>SOLEDAD</t>
  </si>
  <si>
    <t>PROD-173 - GUAQUIN SOLEDAD</t>
  </si>
  <si>
    <t>PROD-174</t>
  </si>
  <si>
    <t>GUDIÑO</t>
  </si>
  <si>
    <t>JORGE</t>
  </si>
  <si>
    <t>PROD-174 - GUDIÑO JORGE</t>
  </si>
  <si>
    <t>PROD-175</t>
  </si>
  <si>
    <t>PROD-175 - GUDIÑO JOSE</t>
  </si>
  <si>
    <t>PROD-176</t>
  </si>
  <si>
    <t>GUENCHUR GUENCHUR</t>
  </si>
  <si>
    <t>EDITH DEL CARMEN</t>
  </si>
  <si>
    <t>PROD-176 - GUENCHUR GUENCHUR EDITH DEL CARMEN</t>
  </si>
  <si>
    <t>PROD-177</t>
  </si>
  <si>
    <t>GUICHAPANI</t>
  </si>
  <si>
    <t>ADRIAN</t>
  </si>
  <si>
    <t>PROD-177 - GUICHAPANI ADRIAN</t>
  </si>
  <si>
    <t>PROD-178</t>
  </si>
  <si>
    <t>GUICHAQUILEN BAHAMONDE</t>
  </si>
  <si>
    <t>RAQUEL INES</t>
  </si>
  <si>
    <t>PROD-178 - GUICHAQUILEN BAHAMONDE RAQUEL INES</t>
  </si>
  <si>
    <t>PROD-179</t>
  </si>
  <si>
    <t>GUZMAN</t>
  </si>
  <si>
    <t>PROD-179 - GUZMAN MARTA</t>
  </si>
  <si>
    <t>PROD-180</t>
  </si>
  <si>
    <t>HARO</t>
  </si>
  <si>
    <t>PAOLA CRISTINA</t>
  </si>
  <si>
    <t>PROD-180 - HARO PAOLA CRISTINA</t>
  </si>
  <si>
    <t>PROD-181</t>
  </si>
  <si>
    <t>SILVIA MARYSOL</t>
  </si>
  <si>
    <t>PROD-181 - HARO SILVIA MARYSOL</t>
  </si>
  <si>
    <t>PROD-182</t>
  </si>
  <si>
    <t>SABAN</t>
  </si>
  <si>
    <t>HECTOR RAMON</t>
  </si>
  <si>
    <t>PROD-182 - SABAN HECTOR RAMON</t>
  </si>
  <si>
    <t>PROD-183</t>
  </si>
  <si>
    <t>HENKE MALDONADO</t>
  </si>
  <si>
    <t>IVANA ANGELICA</t>
  </si>
  <si>
    <t>PROD-183 - HENKE MALDONADO IVANA ANGELICA</t>
  </si>
  <si>
    <t>PROD-184</t>
  </si>
  <si>
    <t>HEREDIA</t>
  </si>
  <si>
    <t>ALFREDO JESUS</t>
  </si>
  <si>
    <t>PROD-184 - HEREDIA ALFREDO JESUS</t>
  </si>
  <si>
    <t>PROD-185</t>
  </si>
  <si>
    <t>HERNANDEZ CALIXTO</t>
  </si>
  <si>
    <t>PROD-185 - HERNANDEZ CALIXTO JUAN</t>
  </si>
  <si>
    <t>PROD-186</t>
  </si>
  <si>
    <t>HERNANDEZ DIAZ</t>
  </si>
  <si>
    <t>CLAUDIA</t>
  </si>
  <si>
    <t>PROD-186 - HERNANDEZ DIAZ CLAUDIA</t>
  </si>
  <si>
    <t>PROD-187</t>
  </si>
  <si>
    <t>HERNANDEZ GODOY</t>
  </si>
  <si>
    <t>DANIEL</t>
  </si>
  <si>
    <t>PROD-187 - HERNANDEZ GODOY DANIEL</t>
  </si>
  <si>
    <t>PROD-188</t>
  </si>
  <si>
    <t>HOUSMANN</t>
  </si>
  <si>
    <t>SILVIA INES</t>
  </si>
  <si>
    <t>PROD-188 - HOUSMANN SILVIA INES</t>
  </si>
  <si>
    <t>PROD-189</t>
  </si>
  <si>
    <t>IBAÑEZ</t>
  </si>
  <si>
    <t>JOSE TIBERIO</t>
  </si>
  <si>
    <t>PROD-189 - IBAÑEZ JOSE TIBERIO</t>
  </si>
  <si>
    <t>PROD-190</t>
  </si>
  <si>
    <t>IGLESIAS IGLESIAS</t>
  </si>
  <si>
    <t>SERGIO LUIS</t>
  </si>
  <si>
    <t>PROD-190 - IGLESIAS IGLESIAS SERGIO LUIS</t>
  </si>
  <si>
    <t>PROD-191</t>
  </si>
  <si>
    <t>IGOR BALCAZAR</t>
  </si>
  <si>
    <t>MARIA CLOTILDE</t>
  </si>
  <si>
    <t>PROD-191 - IGOR BALCAZAR MARIA CLOTILDE</t>
  </si>
  <si>
    <t>PROD-192</t>
  </si>
  <si>
    <t>ILNAO CULUN</t>
  </si>
  <si>
    <t>ROSA EMILIA</t>
  </si>
  <si>
    <t>PROD-192 - ILNAO CULUN ROSA EMILIA</t>
  </si>
  <si>
    <t>PROD-193</t>
  </si>
  <si>
    <t>ILNAO</t>
  </si>
  <si>
    <t>GLADIS</t>
  </si>
  <si>
    <t>PROD-193 - ILNAO GLADIS</t>
  </si>
  <si>
    <t>PROD-194</t>
  </si>
  <si>
    <t>ROSA</t>
  </si>
  <si>
    <t>PROD-194 - ILNAO ROSA</t>
  </si>
  <si>
    <t>PROD-195</t>
  </si>
  <si>
    <t>LARREA / OYARZUN VERA</t>
  </si>
  <si>
    <t>IRENE / HUGO</t>
  </si>
  <si>
    <t>PROD-195 - LARREA / OYARZUN VERA IRENE / HUGO</t>
  </si>
  <si>
    <t>PROD-196</t>
  </si>
  <si>
    <t>ECHEGARAY</t>
  </si>
  <si>
    <t>IRIS</t>
  </si>
  <si>
    <t>PROD-196 - ECHEGARAY IRIS</t>
  </si>
  <si>
    <t>PROD-197</t>
  </si>
  <si>
    <t>VILLANUEVA VILLANUEVA</t>
  </si>
  <si>
    <t>JACQUELINE</t>
  </si>
  <si>
    <t>PROD-197 - VILLANUEVA VILLANUEVA JACQUELINE</t>
  </si>
  <si>
    <t>PROD-198</t>
  </si>
  <si>
    <t>PROD-198 - ALVARADO JOSE</t>
  </si>
  <si>
    <t>PROD-199</t>
  </si>
  <si>
    <t>MARTINEZ</t>
  </si>
  <si>
    <t>PROD-199 - MARTINEZ JOSE LUIS</t>
  </si>
  <si>
    <t>PROD-200</t>
  </si>
  <si>
    <t>SAJAMA</t>
  </si>
  <si>
    <t>PROD-200 - SAJAMA JOSE LUIS</t>
  </si>
  <si>
    <t>PROD-201</t>
  </si>
  <si>
    <t>JUAN CARLOS</t>
  </si>
  <si>
    <t>PROD-201 - MARTINEZ JUAN CARLOS</t>
  </si>
  <si>
    <t>PROD-202</t>
  </si>
  <si>
    <t>JUAREZ</t>
  </si>
  <si>
    <t>JUAN JOSE</t>
  </si>
  <si>
    <t>PROD-202 - JUAREZ JUAN JOSE</t>
  </si>
  <si>
    <t>PROD-203</t>
  </si>
  <si>
    <t>LARA</t>
  </si>
  <si>
    <t>JOSE AMERICO</t>
  </si>
  <si>
    <t>PROD-203 - LARA JOSE AMERICO</t>
  </si>
  <si>
    <t>PROD-204</t>
  </si>
  <si>
    <t>LAZARTE</t>
  </si>
  <si>
    <t>OLGA PAULA</t>
  </si>
  <si>
    <t>PROD-204 - LAZARTE OLGA PAULA</t>
  </si>
  <si>
    <t>PROD-205</t>
  </si>
  <si>
    <t>LAZO</t>
  </si>
  <si>
    <t>MIRNA</t>
  </si>
  <si>
    <t>PROD-205 - LAZO MIRNA</t>
  </si>
  <si>
    <t>PROD-206</t>
  </si>
  <si>
    <t>LEDESMA</t>
  </si>
  <si>
    <t>IGNACIO</t>
  </si>
  <si>
    <t>PROD-206 - LEDESMA IGNACIO</t>
  </si>
  <si>
    <t>PROD-207</t>
  </si>
  <si>
    <t>LEGUIZAMON</t>
  </si>
  <si>
    <t>GABRIELA ISABEL</t>
  </si>
  <si>
    <t>PROD-207 - LEGUIZAMON GABRIELA ISABEL</t>
  </si>
  <si>
    <t>PROD-208</t>
  </si>
  <si>
    <t>LEPEZ ANTONIO</t>
  </si>
  <si>
    <t>JUAN ANGEL</t>
  </si>
  <si>
    <t>PROD-208 - LEPEZ ANTONIO JUAN ANGEL</t>
  </si>
  <si>
    <t>PROD-209</t>
  </si>
  <si>
    <t>LEVICOY</t>
  </si>
  <si>
    <t>PROD-209 - LEVICOY ELENA</t>
  </si>
  <si>
    <t>PROD-210</t>
  </si>
  <si>
    <t>GUSTAVO CARDENAS</t>
  </si>
  <si>
    <t>PROD-210 - LEVICOY GUSTAVO CARDENAS</t>
  </si>
  <si>
    <t>PROD-211</t>
  </si>
  <si>
    <t>ALICIA DEL CARMEN</t>
  </si>
  <si>
    <t>PROD-211 - LEVICOY MAYORGA ALICIA DEL CARMEN</t>
  </si>
  <si>
    <t>PROD-212</t>
  </si>
  <si>
    <t>LICANTICA</t>
  </si>
  <si>
    <t>PEDRO</t>
  </si>
  <si>
    <t>PROD-212 - LICANTICA PEDRO</t>
  </si>
  <si>
    <t>PROD-213</t>
  </si>
  <si>
    <t>LLANGUIN VARGAS</t>
  </si>
  <si>
    <t>MAARTA</t>
  </si>
  <si>
    <t>PROD-213 - LLANGUIN VARGAS MAARTA</t>
  </si>
  <si>
    <t>PROD-214</t>
  </si>
  <si>
    <t>LONCON</t>
  </si>
  <si>
    <t>PROD-214 - LONCON ELENA</t>
  </si>
  <si>
    <t>PROD-215</t>
  </si>
  <si>
    <t>LOPEZ</t>
  </si>
  <si>
    <t>ESTER MARISA</t>
  </si>
  <si>
    <t>PROD-215 - LOPEZ ESTER MARISA</t>
  </si>
  <si>
    <t>PROD-216</t>
  </si>
  <si>
    <t>LOPEZ GODOY</t>
  </si>
  <si>
    <t>ELIZABETH ARLENE</t>
  </si>
  <si>
    <t>PROD-216 - LOPEZ GODOY ELIZABETH ARLENE</t>
  </si>
  <si>
    <t>PROD-217</t>
  </si>
  <si>
    <t>PROD-217 - LOPEZ PEDRO</t>
  </si>
  <si>
    <t>PROD-218</t>
  </si>
  <si>
    <t>LOS ALONCITOS</t>
  </si>
  <si>
    <t>PROD-218 - LOS ALONCITOS (Institución)</t>
  </si>
  <si>
    <t>PROD-219</t>
  </si>
  <si>
    <t>LUENGO RAMONA</t>
  </si>
  <si>
    <t>PROD-219 - LUENGO RAMONA DEL CARMEN</t>
  </si>
  <si>
    <t>PROD-220</t>
  </si>
  <si>
    <t>VIDAL</t>
  </si>
  <si>
    <t>LUIS ALBERTO</t>
  </si>
  <si>
    <t>PROD-220 - VIDAL LUIS ALBERTO</t>
  </si>
  <si>
    <t>PROD-221</t>
  </si>
  <si>
    <t>LUMA</t>
  </si>
  <si>
    <t>MARIA CAROLINA</t>
  </si>
  <si>
    <t>PROD-221 - LUMA MARIA CAROLINA</t>
  </si>
  <si>
    <t>PROD-222</t>
  </si>
  <si>
    <t>MALDONADO</t>
  </si>
  <si>
    <t>ANGEL DAVID</t>
  </si>
  <si>
    <t>PROD-222 - MALDONADO ANGEL DAVID</t>
  </si>
  <si>
    <t>PROD-223</t>
  </si>
  <si>
    <t>MALDONADO VIDAL</t>
  </si>
  <si>
    <t>CECILIA IRENE</t>
  </si>
  <si>
    <t>PROD-223 - MALDONADO VIDAL CECILIA IRENE</t>
  </si>
  <si>
    <t>PROD-224</t>
  </si>
  <si>
    <t>TERESA DE JESUS</t>
  </si>
  <si>
    <t>PROD-224 - MALDONADO VIDAL TERESA DE JESUS</t>
  </si>
  <si>
    <t>PROD-225</t>
  </si>
  <si>
    <t>MANSILLA DELGADO</t>
  </si>
  <si>
    <t>RAUL</t>
  </si>
  <si>
    <t>PROD-225 - MANSILLA DELGADO RAUL</t>
  </si>
  <si>
    <t>PROD-226</t>
  </si>
  <si>
    <t>MANSILLA</t>
  </si>
  <si>
    <t>FABIANA</t>
  </si>
  <si>
    <t>PROD-226 - MANSILLA FABIANA</t>
  </si>
  <si>
    <t>PROD-227</t>
  </si>
  <si>
    <t>PROD-227 - MANSILLA IRIS</t>
  </si>
  <si>
    <t>PROD-228</t>
  </si>
  <si>
    <t>PROD-228 - MANSILLA MARIA</t>
  </si>
  <si>
    <t>PROD-229</t>
  </si>
  <si>
    <t>MANSILLA RIVAL</t>
  </si>
  <si>
    <t>MIRTA MIRIAH</t>
  </si>
  <si>
    <t>PROD-229 - MANSILLA RIVAL MIRTA MIRIAH</t>
  </si>
  <si>
    <t>PROD-230</t>
  </si>
  <si>
    <t>VEGA</t>
  </si>
  <si>
    <t>PROD-230 - VEGA MARCELA ALEJANDRA</t>
  </si>
  <si>
    <t>PROD-231</t>
  </si>
  <si>
    <t>MARTIN ANTONIO</t>
  </si>
  <si>
    <t>PROD-231 - MARCOS MARTIN ANTONIO</t>
  </si>
  <si>
    <t>PROD-232</t>
  </si>
  <si>
    <t>SANTILLAN</t>
  </si>
  <si>
    <t>MARGARITA BEATRIZ</t>
  </si>
  <si>
    <t>PROD-232 - SANTILLAN MARGARITA BEATRIZ</t>
  </si>
  <si>
    <t>PROD-233</t>
  </si>
  <si>
    <t>(Sin apellido)</t>
  </si>
  <si>
    <t>MARIA JOSE</t>
  </si>
  <si>
    <t>PROD-233 - (Sin apellido) MARIA JOSE</t>
  </si>
  <si>
    <t>PROD-234</t>
  </si>
  <si>
    <t>OLIVERA</t>
  </si>
  <si>
    <t>MARIA MARTA</t>
  </si>
  <si>
    <t>PROD-234 - OLIVERA MARIA MARTA</t>
  </si>
  <si>
    <t>PROD-235</t>
  </si>
  <si>
    <t>PALMIERI</t>
  </si>
  <si>
    <t>MARIO OSCAR</t>
  </si>
  <si>
    <t>PROD-235 - PALMIERI MARIO OSCAR</t>
  </si>
  <si>
    <t>PROD-236</t>
  </si>
  <si>
    <t>MARIO SEBASTIAN</t>
  </si>
  <si>
    <t>PROD-236 - PALMIERI MARIO SEBASTIAN</t>
  </si>
  <si>
    <t>PROD-237</t>
  </si>
  <si>
    <t>TRUJILLO</t>
  </si>
  <si>
    <t>PROD-237 - TRUJILLO MARIO</t>
  </si>
  <si>
    <t>PROD-238</t>
  </si>
  <si>
    <t>MONICA PATRICIA</t>
  </si>
  <si>
    <t>PROD-238 - MARTINEZ MONICA PATRICIA</t>
  </si>
  <si>
    <t>PROD-239</t>
  </si>
  <si>
    <t>MATIAS ORLANDO</t>
  </si>
  <si>
    <t>PROD-239 - PALMIERI MATIAS ORLANDO</t>
  </si>
  <si>
    <t>PROD-240</t>
  </si>
  <si>
    <t>MAYORGA</t>
  </si>
  <si>
    <t>ROXANA ELIZABET</t>
  </si>
  <si>
    <t>PROD-240 - MAYORGA ROXANA ELIZABET</t>
  </si>
  <si>
    <t>PROD-241</t>
  </si>
  <si>
    <t>MAZZAGLIA</t>
  </si>
  <si>
    <t>DANIELA</t>
  </si>
  <si>
    <t>PROD-241 - MAZZAGLIA DANIELA</t>
  </si>
  <si>
    <t>PROD-242</t>
  </si>
  <si>
    <t>MEDINA</t>
  </si>
  <si>
    <t>PROD-242 - MEDINA ORLANDO</t>
  </si>
  <si>
    <t>PROD-243</t>
  </si>
  <si>
    <t>TERESA</t>
  </si>
  <si>
    <t>PROD-243 - MEDINA TERESA</t>
  </si>
  <si>
    <t>PROD-244</t>
  </si>
  <si>
    <t>MENA</t>
  </si>
  <si>
    <t>PABLO MAXIMILIANO</t>
  </si>
  <si>
    <t>PROD-244 - MENA PABLO MAXIMILIANO</t>
  </si>
  <si>
    <t>PROD-245</t>
  </si>
  <si>
    <t>ERICA NOEMI</t>
  </si>
  <si>
    <t>PROD-245 - MENCIA ERICA NOEMI</t>
  </si>
  <si>
    <t>PROD-246</t>
  </si>
  <si>
    <t>MENDIOLA</t>
  </si>
  <si>
    <t>PROD-246 - MENDIOLA JOSE</t>
  </si>
  <si>
    <t>PROD-247</t>
  </si>
  <si>
    <t>ZABALA</t>
  </si>
  <si>
    <t>MIGUEL</t>
  </si>
  <si>
    <t>PROD-247 - ZABALA MIGUEL</t>
  </si>
  <si>
    <t>PROD-248</t>
  </si>
  <si>
    <t>MILLACAHUIN MILLACAHUIN</t>
  </si>
  <si>
    <t>MARIA NINFA</t>
  </si>
  <si>
    <t>PROD-248 - MILLACAHUIN MILLACAHUIN MARIA NINFA</t>
  </si>
  <si>
    <t>PROD-249</t>
  </si>
  <si>
    <t>MILLALONCO COÑOCAR</t>
  </si>
  <si>
    <t>GLENDA MILADY</t>
  </si>
  <si>
    <t>PROD-249 - MILLALONCO COÑOCAR GLENDA MILADY</t>
  </si>
  <si>
    <t>PROD-250</t>
  </si>
  <si>
    <t>MILLALONCO</t>
  </si>
  <si>
    <t>PROD-250 - MILLALONCO JOSE</t>
  </si>
  <si>
    <t>PROD-251</t>
  </si>
  <si>
    <t>PROD-251 - MILLALONCO RODOLFO</t>
  </si>
  <si>
    <t>PROD-252</t>
  </si>
  <si>
    <t>MILLAPEL SILVA</t>
  </si>
  <si>
    <t>VICTOR ADRIAN</t>
  </si>
  <si>
    <t>PROD-252 - MILLAPEL SILVA VICTOR ADRIAN</t>
  </si>
  <si>
    <t>PROD-253</t>
  </si>
  <si>
    <t>MIRANDA ALDERETE</t>
  </si>
  <si>
    <t>SANDRA LORENA</t>
  </si>
  <si>
    <t>PROD-253 - MIRANDA ALDERETE SANDRA LORENA</t>
  </si>
  <si>
    <t>PROD-254</t>
  </si>
  <si>
    <t>MOLINA</t>
  </si>
  <si>
    <t>CLAUDIO</t>
  </si>
  <si>
    <t>PROD-254 - MOLINA CLAUDIO</t>
  </si>
  <si>
    <t>PROD-255</t>
  </si>
  <si>
    <t>MOLLEKER</t>
  </si>
  <si>
    <t>ANTONIO</t>
  </si>
  <si>
    <t>PROD-255 - MOLLEKER ANTONIO</t>
  </si>
  <si>
    <t>PROD-256</t>
  </si>
  <si>
    <t>PALMA</t>
  </si>
  <si>
    <t>MONICA MABEL</t>
  </si>
  <si>
    <t>PROD-256 - PALMA MONICA MABEL</t>
  </si>
  <si>
    <t>PROD-257</t>
  </si>
  <si>
    <t>MONTECINO BARRIA</t>
  </si>
  <si>
    <t>BRIGIDA VIVIANA</t>
  </si>
  <si>
    <t>PROD-257 - MONTECINO BARRIA BRIGIDA VIVIANA</t>
  </si>
  <si>
    <t>PROD-258</t>
  </si>
  <si>
    <t>MONTIEL HARO</t>
  </si>
  <si>
    <t>ROSA ARSENIA</t>
  </si>
  <si>
    <t>PROD-258 - MONTIEL HARO ROSA ARSENIA</t>
  </si>
  <si>
    <t>PROD-259</t>
  </si>
  <si>
    <t>MONTIVERO</t>
  </si>
  <si>
    <t>GALO</t>
  </si>
  <si>
    <t>PROD-259 - MONTIVERO GALO</t>
  </si>
  <si>
    <t>PROD-260</t>
  </si>
  <si>
    <t>MONZON</t>
  </si>
  <si>
    <t>LIVERATO</t>
  </si>
  <si>
    <t>PROD-260 - MONZON LIVERATO</t>
  </si>
  <si>
    <t>PROD-261</t>
  </si>
  <si>
    <t>RAMON</t>
  </si>
  <si>
    <t>PROD-261 - MONZON RAMON</t>
  </si>
  <si>
    <t>PROD-262</t>
  </si>
  <si>
    <t>MORALES</t>
  </si>
  <si>
    <t>PROD-262 - MORALES CLAUDIA</t>
  </si>
  <si>
    <t>PROD-263</t>
  </si>
  <si>
    <t>MOREIRA</t>
  </si>
  <si>
    <t>PROD-263 - MOREIRA RAUL</t>
  </si>
  <si>
    <t>PROD-264</t>
  </si>
  <si>
    <t>MORENO</t>
  </si>
  <si>
    <t>LILIANA BEATRIZ</t>
  </si>
  <si>
    <t>PROD-264 - MORENO LILIANA BEATRIZ</t>
  </si>
  <si>
    <t>PROD-265</t>
  </si>
  <si>
    <t>MORTE</t>
  </si>
  <si>
    <t>ALICIA MONICA</t>
  </si>
  <si>
    <t>PROD-265 - MORTE ALICIA MONICA</t>
  </si>
  <si>
    <t>PROD-266</t>
  </si>
  <si>
    <t>MOSELE</t>
  </si>
  <si>
    <t>ROBERTO PEDRO</t>
  </si>
  <si>
    <t>PROD-266 - MOSELE ROBERTO PEDRO</t>
  </si>
  <si>
    <t>PROD-267</t>
  </si>
  <si>
    <t>MOYA</t>
  </si>
  <si>
    <t>MABEL GLADYS</t>
  </si>
  <si>
    <t>PROD-267 - MOYA MABEL GLADYS</t>
  </si>
  <si>
    <t>PROD-268</t>
  </si>
  <si>
    <t>MOYANO</t>
  </si>
  <si>
    <t>PROD-268 - MOYANO CRISTIAN</t>
  </si>
  <si>
    <t>PROD-269</t>
  </si>
  <si>
    <t>MUÑOZ ANTONIA</t>
  </si>
  <si>
    <t>PROD-269 - MUÑOZ ANTONIA DEL CARMEN</t>
  </si>
  <si>
    <t>PROD-270</t>
  </si>
  <si>
    <t>NAHUELQUEN LEVI</t>
  </si>
  <si>
    <t>HAIDEE IVETT</t>
  </si>
  <si>
    <t>PROD-270 - NAHUELQUEN LEVI HAIDEE IVETT</t>
  </si>
  <si>
    <t>PROD-271</t>
  </si>
  <si>
    <t>VELOZO</t>
  </si>
  <si>
    <t>NATALIA SOLEDAD</t>
  </si>
  <si>
    <t>PROD-271 - VELOZO NATALIA SOLEDAD</t>
  </si>
  <si>
    <t>PROD-272</t>
  </si>
  <si>
    <t>NIEVA</t>
  </si>
  <si>
    <t>BELINDA OMAR</t>
  </si>
  <si>
    <t>PROD-272 - NIEVA BELINDA OMAR</t>
  </si>
  <si>
    <t>PROD-273</t>
  </si>
  <si>
    <t>SILVIA</t>
  </si>
  <si>
    <t>PROD-273 - NIEVA SILVIA</t>
  </si>
  <si>
    <t>PROD-274</t>
  </si>
  <si>
    <t>NIEVAS</t>
  </si>
  <si>
    <t>ANGELA MIRIAM</t>
  </si>
  <si>
    <t>PROD-274 - NIEVAS ANGELA MIRIAM</t>
  </si>
  <si>
    <t>PROD-275</t>
  </si>
  <si>
    <t>NIZ</t>
  </si>
  <si>
    <t>MIRTA AZUCENA</t>
  </si>
  <si>
    <t>PROD-275 - NIZ MIRTA AZUCENA</t>
  </si>
  <si>
    <t>PROD-276</t>
  </si>
  <si>
    <t>NUÑEZ</t>
  </si>
  <si>
    <t>PROD-276 - NUÑEZ RAMON</t>
  </si>
  <si>
    <t>PROD-277</t>
  </si>
  <si>
    <t>ÑANCUL ÑANCUL</t>
  </si>
  <si>
    <t>PATRICIA ALEJANDRA</t>
  </si>
  <si>
    <t>PROD-277 - ÑANCUL ÑANCUL PATRICIA ALEJANDRA</t>
  </si>
  <si>
    <t>PROD-278</t>
  </si>
  <si>
    <t>RAQUEL</t>
  </si>
  <si>
    <t>PROD-278 - NUÑEZ RAQUEL</t>
  </si>
  <si>
    <t>PROD-279</t>
  </si>
  <si>
    <t>OJEDA OJEDA</t>
  </si>
  <si>
    <t>OSVALDO</t>
  </si>
  <si>
    <t>PROD-279 - OJEDA OJEDA OSVALDO</t>
  </si>
  <si>
    <t>PROD-280</t>
  </si>
  <si>
    <t>OLARIAGA</t>
  </si>
  <si>
    <t>NESTOR</t>
  </si>
  <si>
    <t>PROD-280 - OLARIAGA NESTOR</t>
  </si>
  <si>
    <t>PROD-281</t>
  </si>
  <si>
    <t>QUINTANA</t>
  </si>
  <si>
    <t>OMAR</t>
  </si>
  <si>
    <t>PROD-281 - QUINTANA OMAR</t>
  </si>
  <si>
    <t>PROD-282</t>
  </si>
  <si>
    <t>ORDOÑES</t>
  </si>
  <si>
    <t>PROD-282 - ORDOÑES JUAN</t>
  </si>
  <si>
    <t>PROD-283</t>
  </si>
  <si>
    <t>ORDOÑEZ</t>
  </si>
  <si>
    <t>PROD-283 - ORDOÑEZ CARLOS</t>
  </si>
  <si>
    <t>PROD-284</t>
  </si>
  <si>
    <t>ANDRADE</t>
  </si>
  <si>
    <t>ORITIA</t>
  </si>
  <si>
    <t>PROD-284 - ANDRADE ORITIA</t>
  </si>
  <si>
    <t>PROD-285</t>
  </si>
  <si>
    <t>OROZ</t>
  </si>
  <si>
    <t>PROD-285 - OROZ CLAUDIO</t>
  </si>
  <si>
    <t>PROD-286</t>
  </si>
  <si>
    <t>OTEY</t>
  </si>
  <si>
    <t>PROD-286 - OTEY MARIA</t>
  </si>
  <si>
    <t>PROD-287</t>
  </si>
  <si>
    <t>OVANDO</t>
  </si>
  <si>
    <t>RENATO</t>
  </si>
  <si>
    <t>PROD-287 - OVANDO RENATO</t>
  </si>
  <si>
    <t>PROD-288</t>
  </si>
  <si>
    <t>PROD-288 - OYARZO CARMEN</t>
  </si>
  <si>
    <t>PROD-289</t>
  </si>
  <si>
    <t>OYARZO CHODIL</t>
  </si>
  <si>
    <t>CARMEN LUZ</t>
  </si>
  <si>
    <t>PROD-289 - OYARZO CHODIL CARMEN LUZ</t>
  </si>
  <si>
    <t>PROD-290</t>
  </si>
  <si>
    <t>PROD-290 - OYARZO GRACIELA</t>
  </si>
  <si>
    <t>PROD-291</t>
  </si>
  <si>
    <t>PROD-291 - OYARZO JUAN</t>
  </si>
  <si>
    <t>PROD-292</t>
  </si>
  <si>
    <t>OYARZUN</t>
  </si>
  <si>
    <t>PROD-292 - OYARZUN KARINA</t>
  </si>
  <si>
    <t>PROD-293</t>
  </si>
  <si>
    <t>PROD-293 - OYARZUN OMAR</t>
  </si>
  <si>
    <t>PROD-294</t>
  </si>
  <si>
    <t>OYARZUN VERA</t>
  </si>
  <si>
    <t>VICTOR ARMANDO</t>
  </si>
  <si>
    <t>PROD-294 - OYARZUN VERA VICTOR ARMANDO</t>
  </si>
  <si>
    <t>PROD-295</t>
  </si>
  <si>
    <t>PABLO JAVIER</t>
  </si>
  <si>
    <t>PROD-295 - ROSTAGNO PABLO JAVIER</t>
  </si>
  <si>
    <t>PROD-296</t>
  </si>
  <si>
    <t>PAPA DEL CHAPU</t>
  </si>
  <si>
    <t>PROD-296 - PAPA DEL CHAPU (Institución)</t>
  </si>
  <si>
    <t>PROD-297</t>
  </si>
  <si>
    <t>PAREDES BARRIA</t>
  </si>
  <si>
    <t>SOFIA DEL CARMEN</t>
  </si>
  <si>
    <t>PROD-297 - PAREDES BARRIA SOFIA DEL CARMEN</t>
  </si>
  <si>
    <t>PROD-298</t>
  </si>
  <si>
    <t>PAREDEZ</t>
  </si>
  <si>
    <t>PROD-298 - PAREDEZ JUAN CARLOS</t>
  </si>
  <si>
    <t>PROD-299</t>
  </si>
  <si>
    <t>PARRA</t>
  </si>
  <si>
    <t>MARCELA</t>
  </si>
  <si>
    <t>PROD-299 - PARRA MARCELA</t>
  </si>
  <si>
    <t>PROD-300</t>
  </si>
  <si>
    <t>PARUN</t>
  </si>
  <si>
    <t>PROD-300 - PARUN JUAN ANTONIO</t>
  </si>
  <si>
    <t>PROD-301</t>
  </si>
  <si>
    <t>PASTORIZA</t>
  </si>
  <si>
    <t>PROD-301 - PASTORIZA SILVIA</t>
  </si>
  <si>
    <t>PROD-302</t>
  </si>
  <si>
    <t>MILAD</t>
  </si>
  <si>
    <t>PATRICIA MONICA</t>
  </si>
  <si>
    <t>PROD-302 - MILAD PATRICIA MONICA</t>
  </si>
  <si>
    <t>PROD-303</t>
  </si>
  <si>
    <t>PENITENCIARIA</t>
  </si>
  <si>
    <t>PROD-303 - PENITENCIARIA (Institución)</t>
  </si>
  <si>
    <t>PROD-304</t>
  </si>
  <si>
    <t>PERALTA</t>
  </si>
  <si>
    <t>MARCELO FERNANDO</t>
  </si>
  <si>
    <t>PROD-304 - PERALTA MARCELO FERNANDO</t>
  </si>
  <si>
    <t>PROD-305</t>
  </si>
  <si>
    <t>PEREZ CARDENAS</t>
  </si>
  <si>
    <t>MARIA EUGENIA</t>
  </si>
  <si>
    <t>PROD-305 - PEREZ CARDENAS MARIA EUGENIA</t>
  </si>
  <si>
    <t>PROD-306</t>
  </si>
  <si>
    <t>PEREZ MANSILLA</t>
  </si>
  <si>
    <t>MARGARITA ADELINA</t>
  </si>
  <si>
    <t>PROD-306 - PEREZ MANSILLA MARGARITA ADELINA</t>
  </si>
  <si>
    <t>PROD-307</t>
  </si>
  <si>
    <t>PEREZ RIQUELME</t>
  </si>
  <si>
    <t>PROD-307 - PEREZ RIQUELME FERMIN</t>
  </si>
  <si>
    <t>PROD-308</t>
  </si>
  <si>
    <t>PEREZ VIDAL</t>
  </si>
  <si>
    <t>MARCIA</t>
  </si>
  <si>
    <t>PROD-308 - PEREZ VIDAL MARCIA</t>
  </si>
  <si>
    <t>PROD-309</t>
  </si>
  <si>
    <t>PICHUNCHEO LEGUE</t>
  </si>
  <si>
    <t>LUCERINA MARIA</t>
  </si>
  <si>
    <t>PROD-309 - PICHUNCHEO LEGUE LUCERINA MARIA</t>
  </si>
  <si>
    <t>PROD-310</t>
  </si>
  <si>
    <t>PICO</t>
  </si>
  <si>
    <t>PROD-310 - PICO HORACIO</t>
  </si>
  <si>
    <t>PROD-311</t>
  </si>
  <si>
    <t>PINILLA BARRIA</t>
  </si>
  <si>
    <t>IVAN ERNESTO</t>
  </si>
  <si>
    <t>PROD-311 - PINILLA BARRIA IVAN ERNESTO</t>
  </si>
  <si>
    <t>PROD-312</t>
  </si>
  <si>
    <t>PRESSACCO</t>
  </si>
  <si>
    <t>LUIS RICARDO</t>
  </si>
  <si>
    <t>PROD-312 - PRESSACCO LUIS RICARDO</t>
  </si>
  <si>
    <t>PROD-313</t>
  </si>
  <si>
    <t>PUGH HUGO</t>
  </si>
  <si>
    <t>DEL VALLE</t>
  </si>
  <si>
    <t>PROD-313 - PUGH HUGO DEL VALLE</t>
  </si>
  <si>
    <t>PROD-314</t>
  </si>
  <si>
    <t>RAMIREZ</t>
  </si>
  <si>
    <t>PROD-314 - RAMIREZ IGNACIO</t>
  </si>
  <si>
    <t>PROD-315</t>
  </si>
  <si>
    <t>MARTIRES</t>
  </si>
  <si>
    <t>PROD-315 - RAMIREZ MARTIRES</t>
  </si>
  <si>
    <t>PROD-316</t>
  </si>
  <si>
    <t>RAYAN</t>
  </si>
  <si>
    <t>RAUL ESTEBAN</t>
  </si>
  <si>
    <t>PROD-316 - RAYAN RAUL ESTEBAN</t>
  </si>
  <si>
    <t>PROD-317</t>
  </si>
  <si>
    <t>RIVADERO</t>
  </si>
  <si>
    <t>XAVIER ALEJANDRO</t>
  </si>
  <si>
    <t>PROD-317 - RIVADERO XAVIER ALEJANDRO</t>
  </si>
  <si>
    <t>PROD-318</t>
  </si>
  <si>
    <t>RUIZ DIAZ</t>
  </si>
  <si>
    <t>ROBERTO</t>
  </si>
  <si>
    <t>PROD-318 - RUIZ DIAZ ROBERTO</t>
  </si>
  <si>
    <t>PROD-319</t>
  </si>
  <si>
    <t>ALICIA JOANA</t>
  </si>
  <si>
    <t>PROD-319 - RODRIGUEZ ALICIA JOANA</t>
  </si>
  <si>
    <t>PROD-320</t>
  </si>
  <si>
    <t>FERNANDO EZEQUIEL</t>
  </si>
  <si>
    <t>PROD-320 - RODRIGUEZ FERNANDO EZEQUIEL</t>
  </si>
  <si>
    <t>PROD-321</t>
  </si>
  <si>
    <t>ROHR</t>
  </si>
  <si>
    <t>HECTOR ALBERTO</t>
  </si>
  <si>
    <t>PROD-321 - ROHR HECTOR ALBERTO</t>
  </si>
  <si>
    <t>PROD-322</t>
  </si>
  <si>
    <t>SENATORE</t>
  </si>
  <si>
    <t>ROLANDO OSCAR</t>
  </si>
  <si>
    <t>PROD-322 - SENATORE ROLANDO OSCAR</t>
  </si>
  <si>
    <t>PROD-323</t>
  </si>
  <si>
    <t>ROMAN</t>
  </si>
  <si>
    <t>PROD-323 - ROMAN DANIEL</t>
  </si>
  <si>
    <t>PROD-324</t>
  </si>
  <si>
    <t>ROMERO</t>
  </si>
  <si>
    <t>OSVALDO FEDERICO</t>
  </si>
  <si>
    <t>PROD-324 - ROMERO OSVALDO FEDERICO</t>
  </si>
  <si>
    <t>PROD-325</t>
  </si>
  <si>
    <t>VICENTA</t>
  </si>
  <si>
    <t>PROD-325 - ROMERO VICENTA</t>
  </si>
  <si>
    <t>PROD-326</t>
  </si>
  <si>
    <t>REMOLCOY</t>
  </si>
  <si>
    <t>PROD-326 - REMOLCOY ROSA</t>
  </si>
  <si>
    <t>PROD-327</t>
  </si>
  <si>
    <t>CRISTIAN RAFAEL</t>
  </si>
  <si>
    <t>PROD-327 - RUIZ DIAZ CRISTIAN RAFAEL</t>
  </si>
  <si>
    <t>PROD-328</t>
  </si>
  <si>
    <t>SALDIVIA CARCAMO</t>
  </si>
  <si>
    <t>PROD-328 - SALDIVIA CARCAMO FRANCISCO</t>
  </si>
  <si>
    <t>PROD-329</t>
  </si>
  <si>
    <t>SALDIVIA</t>
  </si>
  <si>
    <t>JOSE BELARMINO</t>
  </si>
  <si>
    <t>PROD-329 - SALDIVIA JOSE BELARMINO</t>
  </si>
  <si>
    <t>PROD-330</t>
  </si>
  <si>
    <t>MARCELO</t>
  </si>
  <si>
    <t>PROD-330 - SALDIVIA MARCELO</t>
  </si>
  <si>
    <t>PROD-331</t>
  </si>
  <si>
    <t>SALVA</t>
  </si>
  <si>
    <t>ALEJANDRINO RENE</t>
  </si>
  <si>
    <t>PROD-331 - SALVA ALEJANDRINO RENE</t>
  </si>
  <si>
    <t>PROD-332</t>
  </si>
  <si>
    <t>SANCHEZ</t>
  </si>
  <si>
    <t>PROD-332 - SANCHEZ MARIA TERESA</t>
  </si>
  <si>
    <t>PROD-333</t>
  </si>
  <si>
    <t>OYARZABAL</t>
  </si>
  <si>
    <t>SANDRA</t>
  </si>
  <si>
    <t>PROD-333 - OYARZABAL SANDRA</t>
  </si>
  <si>
    <t>PROD-334</t>
  </si>
  <si>
    <t>SANTANA</t>
  </si>
  <si>
    <t>PROD-334 - SANTANA CARLOS</t>
  </si>
  <si>
    <t>PROD-335</t>
  </si>
  <si>
    <t>SANTIBAÑEZ SANTIBAÑEZ</t>
  </si>
  <si>
    <t>MARIA DEIFILIA</t>
  </si>
  <si>
    <t>PROD-335 - SANTIBAÑEZ SANTIBAÑEZ MARIA DEIFILIA</t>
  </si>
  <si>
    <t>PROD-336</t>
  </si>
  <si>
    <t>PROD-336 - SANTILLAN JUAN ANGEL</t>
  </si>
  <si>
    <t>PROD-337</t>
  </si>
  <si>
    <t>SCHREIBER</t>
  </si>
  <si>
    <t>LUIS</t>
  </si>
  <si>
    <t>PROD-337 - SCHREIBER LUIS</t>
  </si>
  <si>
    <t>PROD-338</t>
  </si>
  <si>
    <t>SEGOVIA MARTINEZ</t>
  </si>
  <si>
    <t>SARA</t>
  </si>
  <si>
    <t>PROD-338 - SEGOVIA MARTINEZ SARA</t>
  </si>
  <si>
    <t>PROD-339</t>
  </si>
  <si>
    <t>SEGOVIE</t>
  </si>
  <si>
    <t>CELIO MARINO</t>
  </si>
  <si>
    <t>PROD-339 - SEGOVIE CELIO MARINO</t>
  </si>
  <si>
    <t>PROD-340</t>
  </si>
  <si>
    <t>SEGURA PERALTA</t>
  </si>
  <si>
    <t>IRIS CARMEN</t>
  </si>
  <si>
    <t>PROD-340 - SEGURA PERALTA IRIS CARMEN</t>
  </si>
  <si>
    <t>PROD-341</t>
  </si>
  <si>
    <t>SEVILLANO</t>
  </si>
  <si>
    <t>DAVID</t>
  </si>
  <si>
    <t>PROD-341 - SEVILLANO DAVID</t>
  </si>
  <si>
    <t>PROD-342</t>
  </si>
  <si>
    <t>SJOERDSTRA CASTILLO</t>
  </si>
  <si>
    <t>CLAUDIO ROBERTO</t>
  </si>
  <si>
    <t>PROD-342 - SJOERDSTRA CASTILLO CLAUDIO ROBERTO</t>
  </si>
  <si>
    <t>PROD-343</t>
  </si>
  <si>
    <t>SOBRAL</t>
  </si>
  <si>
    <t>RICARDO</t>
  </si>
  <si>
    <t>PROD-343 - SOBRAL RICARDO</t>
  </si>
  <si>
    <t>PROD-344</t>
  </si>
  <si>
    <t>SOTO</t>
  </si>
  <si>
    <t>ADOLFO</t>
  </si>
  <si>
    <t>PROD-344 - SOTO ADOLFO</t>
  </si>
  <si>
    <t>PROD-345</t>
  </si>
  <si>
    <t>SOTO BARRIENTOS</t>
  </si>
  <si>
    <t>NORMA ELIZABETH</t>
  </si>
  <si>
    <t>PROD-345 - SOTO BARRIENTOS NORMA ELIZABETH</t>
  </si>
  <si>
    <t>PROD-346</t>
  </si>
  <si>
    <t>SOTO IGOR</t>
  </si>
  <si>
    <t>JOSE JUVENAL</t>
  </si>
  <si>
    <t>PROD-346 - SOTO IGOR JOSE JUVENAL</t>
  </si>
  <si>
    <t>PROD-347</t>
  </si>
  <si>
    <t>SOTO SOTO</t>
  </si>
  <si>
    <t>PEDRO HERNAN</t>
  </si>
  <si>
    <t>PROD-347 - SOTO SOTO PEDRO HERNAN</t>
  </si>
  <si>
    <t>PROD-348</t>
  </si>
  <si>
    <t>VISIC</t>
  </si>
  <si>
    <t>SUSANA BEATRIZ</t>
  </si>
  <si>
    <t>PROD-348 - VISIC SUSANA BEATRIZ</t>
  </si>
  <si>
    <t>PROD-349</t>
  </si>
  <si>
    <t>TOBARES</t>
  </si>
  <si>
    <t>PROD-349 - TOBARES ROBERTO</t>
  </si>
  <si>
    <t>PROD-350</t>
  </si>
  <si>
    <t>TORALES</t>
  </si>
  <si>
    <t>EBER</t>
  </si>
  <si>
    <t>PROD-350 - TORALES EBER</t>
  </si>
  <si>
    <t>PROD-351</t>
  </si>
  <si>
    <t>TORRES AGUILAR</t>
  </si>
  <si>
    <t>GREDY MARIBEL</t>
  </si>
  <si>
    <t>PROD-351 - TORRES AGUILAR GREDY MARIBEL</t>
  </si>
  <si>
    <t>PROD-352</t>
  </si>
  <si>
    <t>TREZO</t>
  </si>
  <si>
    <t>PROD-352 - TREZO LUIS</t>
  </si>
  <si>
    <t>PROD-353</t>
  </si>
  <si>
    <t>TRONCOSO ARIEL</t>
  </si>
  <si>
    <t>GUSTAVO GERMAN</t>
  </si>
  <si>
    <t>PROD-353 - TRONCOSO ARIEL GUSTAVO GERMAN</t>
  </si>
  <si>
    <t>PROD-354</t>
  </si>
  <si>
    <t>ULLOA VIDAL</t>
  </si>
  <si>
    <t>PROD-354 - ULLOA VIDAL MARIA TERESA</t>
  </si>
  <si>
    <t>PROD-355</t>
  </si>
  <si>
    <t>URIBE</t>
  </si>
  <si>
    <t>MIRSA</t>
  </si>
  <si>
    <t>PROD-355 - URIBE MIRSA</t>
  </si>
  <si>
    <t>PROD-356</t>
  </si>
  <si>
    <t>URRUTY</t>
  </si>
  <si>
    <t>PROD-356 - URRUTY PEDRO</t>
  </si>
  <si>
    <t>PROD-357</t>
  </si>
  <si>
    <t>VAINI</t>
  </si>
  <si>
    <t>IVAN RAMON</t>
  </si>
  <si>
    <t>PROD-357 - VAINI IVAN RAMON</t>
  </si>
  <si>
    <t>PROD-358</t>
  </si>
  <si>
    <t>VALDIVIA</t>
  </si>
  <si>
    <t>DIEGO</t>
  </si>
  <si>
    <t>PROD-358 - VALDIVIA DIEGO</t>
  </si>
  <si>
    <t>PROD-359</t>
  </si>
  <si>
    <t>VARGAS ARTEAGA</t>
  </si>
  <si>
    <t>FRUCTUOSO DEL CARMEN</t>
  </si>
  <si>
    <t>PROD-359 - VARGAS ARTEAGA FRUCTUOSO DEL CARMEN</t>
  </si>
  <si>
    <t>PROD-360</t>
  </si>
  <si>
    <t>VARGAS BARRIENTOS</t>
  </si>
  <si>
    <t>JORGE A</t>
  </si>
  <si>
    <t>PROD-360 - VARGAS BARRIENTOS JORGE A</t>
  </si>
  <si>
    <t>PROD-361</t>
  </si>
  <si>
    <t>VARGAS</t>
  </si>
  <si>
    <t>JESUS GUILLERMO</t>
  </si>
  <si>
    <t>PROD-361 - VARGAS JESUS GUILLERMO</t>
  </si>
  <si>
    <t>PROD-362</t>
  </si>
  <si>
    <t>MELANI</t>
  </si>
  <si>
    <t>PROD-362 - VARGAS MELANI</t>
  </si>
  <si>
    <t>PROD-363</t>
  </si>
  <si>
    <t>VARGAS OJEDA</t>
  </si>
  <si>
    <t>SEGUNDO</t>
  </si>
  <si>
    <t>PROD-363 - VARGAS OJEDA SEGUNDO</t>
  </si>
  <si>
    <t>PROD-364</t>
  </si>
  <si>
    <t>VELASQUEZ SILVIA</t>
  </si>
  <si>
    <t>PROD-364 - VELASQUEZ SILVIA DEL CARMEN</t>
  </si>
  <si>
    <t>PROD-365</t>
  </si>
  <si>
    <t>VELAZQUEZ</t>
  </si>
  <si>
    <t>ERMENELGIDO</t>
  </si>
  <si>
    <t>PROD-365 - VELAZQUEZ ERMENELGIDO</t>
  </si>
  <si>
    <t>PROD-366</t>
  </si>
  <si>
    <t>HERMENDO</t>
  </si>
  <si>
    <t>PROD-366 - VELAZQUEZ HERMENDO</t>
  </si>
  <si>
    <t>PROD-367</t>
  </si>
  <si>
    <t>PROD-367 - VIDAL SILVIA</t>
  </si>
  <si>
    <t>PROD-368</t>
  </si>
  <si>
    <t>VILLALBA</t>
  </si>
  <si>
    <t>SERGIO</t>
  </si>
  <si>
    <t>PROD-368 - VILLALBA SERGIO</t>
  </si>
  <si>
    <t>PROD-369</t>
  </si>
  <si>
    <t>VILLALOBOS</t>
  </si>
  <si>
    <t>PROD-369 - VILLALOBOS GASTON</t>
  </si>
  <si>
    <t>PROD-370</t>
  </si>
  <si>
    <t>GUSTAVO JAVIER</t>
  </si>
  <si>
    <t>PROD-370 - VILLALOBOS GUSTAVO JAVIER</t>
  </si>
  <si>
    <t>PROD-371</t>
  </si>
  <si>
    <t>VILLEGAS</t>
  </si>
  <si>
    <t>MARTA LILIANA</t>
  </si>
  <si>
    <t>PROD-371 - VILLEGAS MARTA LILIANA</t>
  </si>
  <si>
    <t>PROD-372</t>
  </si>
  <si>
    <t>VIVAR</t>
  </si>
  <si>
    <t>MARIA HERMINIA</t>
  </si>
  <si>
    <t>PROD-372 - VIVAR MARIA HERMINIA</t>
  </si>
  <si>
    <t/>
  </si>
  <si>
    <t>PROD-374</t>
  </si>
  <si>
    <t>diaz</t>
  </si>
  <si>
    <t>axel</t>
  </si>
  <si>
    <t>PROD-374 - diaz axel</t>
  </si>
  <si>
    <t>CRUZ ELEUTERIA</t>
  </si>
  <si>
    <t>COÑACA MARIA ELENE</t>
  </si>
  <si>
    <t>MONZON LIBERATO RAMON</t>
  </si>
  <si>
    <t>AUCHODE ERNESTO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</si>
</sst>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yyyy-mm-dd"/>
  </numFmts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22.0"/>
      <color rgb="FF0000FF"/>
    </font>
    <font>
      <color theme="1"/>
      <name val="Calibri"/>
      <scheme val="minor"/>
    </font>
    <font>
      <b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A1C4C8"/>
        <bgColor rgb="FFA1C4C8"/>
      </patternFill>
    </fill>
    <fill>
      <patternFill patternType="solid">
        <fgColor rgb="FFFFE0A5"/>
        <bgColor rgb="FFFFE0A5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</fills>
  <borders count="4">
    <border/>
    <border>
      <left style="thin">
        <color rgb="FF1F4E78"/>
      </left>
      <right style="thin">
        <color rgb="FF1F4E78"/>
      </right>
      <top style="medium">
        <color rgb="FF1F4E78"/>
      </top>
      <bottom style="medium">
        <color rgb="FF1F4E78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left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shrinkToFit="0" wrapText="1"/>
    </xf>
    <xf borderId="0" fillId="3" fontId="3" numFmtId="0" xfId="0" applyAlignment="1" applyFill="1" applyFont="1">
      <alignment horizontal="center" readingOrder="0" vertical="center"/>
    </xf>
    <xf borderId="3" fillId="0" fontId="2" numFmtId="0" xfId="0" applyAlignment="1" applyBorder="1" applyFont="1">
      <alignment horizontal="center"/>
    </xf>
    <xf borderId="3" fillId="0" fontId="2" numFmtId="164" xfId="0" applyAlignment="1" applyBorder="1" applyFont="1" applyNumberFormat="1">
      <alignment horizontal="center" readingOrder="0"/>
    </xf>
    <xf borderId="3" fillId="4" fontId="2" numFmtId="0" xfId="0" applyAlignment="1" applyBorder="1" applyFill="1" applyFont="1">
      <alignment horizontal="left" readingOrder="0"/>
    </xf>
    <xf borderId="0" fillId="0" fontId="4" numFmtId="0" xfId="0" applyFont="1"/>
    <xf borderId="3" fillId="5" fontId="2" numFmtId="0" xfId="0" applyAlignment="1" applyBorder="1" applyFill="1" applyFont="1">
      <alignment horizontal="left"/>
    </xf>
    <xf borderId="3" fillId="5" fontId="2" numFmtId="0" xfId="0" applyAlignment="1" applyBorder="1" applyFill="1" applyFont="1">
      <alignment horizontal="center"/>
    </xf>
    <xf borderId="3" fillId="0" fontId="2" numFmtId="0" xfId="0" applyAlignment="1" applyBorder="1" applyFont="1">
      <alignment horizontal="left" readingOrder="0"/>
    </xf>
    <xf borderId="3" fillId="0" fontId="2" numFmtId="3" xfId="0" applyAlignment="1" applyBorder="1" applyFont="1" applyNumberFormat="1">
      <alignment horizontal="right" readingOrder="0"/>
    </xf>
    <xf borderId="3" fillId="0" fontId="2" numFmtId="0" xfId="0" applyAlignment="1" applyBorder="1" applyFont="1">
      <alignment horizontal="left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3" fillId="6" fontId="5" numFmtId="0" xfId="0" applyAlignment="1" applyBorder="1" applyFill="1" applyFont="1">
      <alignment horizontal="left" readingOrder="0"/>
    </xf>
    <xf borderId="3" fillId="7" fontId="2" numFmtId="3" xfId="0" applyAlignment="1" applyBorder="1" applyFill="1" applyFont="1" applyNumberFormat="1">
      <alignment horizontal="right" readingOrder="0"/>
    </xf>
    <xf borderId="3" fillId="7" fontId="2" numFmtId="0" xfId="0" applyAlignment="1" applyBorder="1" applyFill="1" applyFont="1">
      <alignment horizontal="left"/>
    </xf>
    <xf borderId="2" fillId="0" fontId="2" numFmtId="164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left" readingOrder="0"/>
    </xf>
    <xf borderId="2" fillId="5" fontId="2" numFmtId="0" xfId="0" applyAlignment="1" applyBorder="1" applyFill="1" applyFont="1">
      <alignment horizontal="left"/>
    </xf>
    <xf borderId="2" fillId="5" fontId="2" numFmtId="0" xfId="0" applyAlignment="1" applyBorder="1" applyFill="1" applyFont="1">
      <alignment horizontal="center"/>
    </xf>
    <xf borderId="2" fillId="0" fontId="2" numFmtId="0" xfId="0" applyAlignment="1" applyBorder="1" applyFont="1">
      <alignment readingOrder="0"/>
    </xf>
    <xf borderId="2" fillId="0" fontId="2" numFmtId="3" xfId="0" applyAlignment="1" applyBorder="1" applyFont="1" applyNumberFormat="1">
      <alignment horizontal="right" readingOrder="0"/>
    </xf>
    <xf borderId="2" fillId="0" fontId="2" numFmtId="0" xfId="0" applyBorder="1" applyFont="1"/>
    <xf borderId="2" fillId="8" fontId="2" numFmtId="0" xfId="0" applyAlignment="1" applyBorder="1" applyFill="1" applyFont="1">
      <alignment horizontal="left"/>
    </xf>
    <xf borderId="2" fillId="8" fontId="2" numFmtId="0" xfId="0" applyAlignment="1" applyBorder="1" applyFill="1" applyFont="1">
      <alignment horizontal="center"/>
    </xf>
    <xf borderId="2" fillId="0" fontId="2" numFmtId="164" xfId="0" applyAlignment="1" applyBorder="1" applyFont="1" applyNumberFormat="1">
      <alignment horizontal="center"/>
    </xf>
    <xf borderId="0" fillId="0" fontId="4" numFmtId="0" xfId="0" applyAlignment="1" applyFont="1">
      <alignment horizontal="left"/>
    </xf>
    <xf borderId="0" fillId="8" fontId="4" numFmtId="0" xfId="0" applyFill="1" applyFont="1"/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2">
    <dxf>
      <font>
        <b/>
      </font>
      <fill>
        <patternFill patternType="solid">
          <fgColor rgb="FFFFE0A5"/>
          <bgColor rgb="FFFFE0A5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atastudio.google.com/u/0/reporting/d0acf116-aacb-4296-ace2-37b973dbaa42/page/HrZ9F/edit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59.0"/>
    <col customWidth="1" min="4" max="4" width="42.29"/>
    <col customWidth="1" min="5" max="5" width="16.14"/>
    <col customWidth="1" min="6" max="6" width="35.71"/>
    <col customWidth="1" min="7" max="7" width="9.29"/>
    <col customWidth="1" min="8" max="8" width="23.0"/>
    <col customWidth="1" min="9" max="26" width="8.71"/>
  </cols>
  <sheetData>
    <row r="1">
      <c r="A1" s="5" t="s">
        <v>2</v>
      </c>
      <c r="B1" s="2" t="s">
        <v>22</v>
      </c>
      <c r="C1" s="5" t="s">
        <v>35</v>
      </c>
      <c r="D1" s="5" t="s">
        <v>40</v>
      </c>
      <c r="E1" s="5" t="s">
        <v>12</v>
      </c>
      <c r="F1" s="2" t="s">
        <v>44</v>
      </c>
      <c r="G1" s="2" t="s">
        <v>47</v>
      </c>
      <c r="H1" s="2" t="s">
        <v>7</v>
      </c>
    </row>
    <row r="2">
      <c r="A2" s="8" t="str">
        <f>IF(AND(B2="", C2=""), "", "ENT-0001")</f>
        <v>ENT-0001</v>
      </c>
      <c r="B2" s="9">
        <v>46279.0</v>
      </c>
      <c r="C2" s="10" t="s">
        <v>88</v>
      </c>
      <c r="D2" s="12" t="str">
        <f t="array" ref="D2">IF(C2="","",IFERROR(INDEX(PRODUCTORES!$B:$B, MATCH(C2, PRODUCTORES!$F:$F, 0)) &amp; " " &amp; INDEX(PRODUCTORES!$C:$C, MATCH(C2, PRODUCTORES!$F:$F, 0)), IFERROR(INDEX(PRODUCTORES!$B:$B, MATCH(C2, PRODUCTORES!$A:$A, 0)) &amp; " " &amp; INDEX(PRODUCTORES!$C:$C, MATCH(C2, PRODUCTORES!$A:$A, 0)), IFERROR(TRIM(MID(C2, SEARCH(" - ", C2) + 3, 100)), "NO ENCONTRADO"))))</f>
        <v>ALTAMIRANO SERGIO RAMIRO</v>
      </c>
      <c r="E2" s="13" t="str">
        <f t="array" ref="E2">IF(C2="","",IFERROR(INDEX(PRODUCTORES!$D:$D, MATCH(C2, PRODUCTORES!$F:$F, 0)), IFERROR(INDEX(PRODUCTORES!$D:$D, MATCH(IF(ISNUMBER(SEARCH(" - ", C2)), LEFT(C2, SEARCH(" - ", C2) - 1), C2), PRODUCTORES!$A:$A, 0)), "-")))</f>
        <v>Sí</v>
      </c>
      <c r="F2" s="14" t="s">
        <v>58</v>
      </c>
      <c r="G2" s="15">
        <v>4.0</v>
      </c>
      <c r="H2" s="16"/>
    </row>
    <row r="3">
      <c r="A3" s="8" t="str">
        <f t="shared" ref="A3:A282" si="1">IF(AND(B3="", C3=""), "", IF(AND(B3=B2, C3=C2, B3&lt;&gt;""), A2, "ENT-" &amp; TEXT(IFERROR(VALUE(RIGHT(A2, 4)), 0) + 1, "0000")))</f>
        <v>ENT-0001</v>
      </c>
      <c r="B3" s="9">
        <v>46279.0</v>
      </c>
      <c r="C3" s="10" t="s">
        <v>88</v>
      </c>
      <c r="D3" s="12" t="str">
        <f t="array" ref="D3">IF(C3="","",IFERROR(INDEX(PRODUCTORES!$B:$B, MATCH(C3, PRODUCTORES!$F:$F, 0)) &amp; " " &amp; INDEX(PRODUCTORES!$C:$C, MATCH(C3, PRODUCTORES!$F:$F, 0)), IFERROR(INDEX(PRODUCTORES!$B:$B, MATCH(C3, PRODUCTORES!$A:$A, 0)) &amp; " " &amp; INDEX(PRODUCTORES!$C:$C, MATCH(C3, PRODUCTORES!$A:$A, 0)), IFERROR(TRIM(MID(C3, SEARCH(" - ", C3) + 3, 100)), "NO ENCONTRADO"))))</f>
        <v>ALTAMIRANO SERGIO RAMIRO</v>
      </c>
      <c r="E3" s="13" t="str">
        <f t="array" ref="E3">IF(C3="","",IFERROR(INDEX(PRODUCTORES!$D:$D, MATCH(C3, PRODUCTORES!$F:$F, 0)), IFERROR(INDEX(PRODUCTORES!$D:$D, MATCH(IF(ISNUMBER(SEARCH(" - ", C3)), LEFT(C3, SEARCH(" - ", C3) - 1), C3), PRODUCTORES!$A:$A, 0)), "-")))</f>
        <v>Sí</v>
      </c>
      <c r="F3" s="14" t="s">
        <v>11</v>
      </c>
      <c r="G3" s="15">
        <v>1.0</v>
      </c>
      <c r="H3" s="16"/>
    </row>
    <row r="4">
      <c r="A4" s="8" t="str">
        <f t="shared" si="1"/>
        <v>ENT-0001</v>
      </c>
      <c r="B4" s="9">
        <v>46279.0</v>
      </c>
      <c r="C4" s="10" t="s">
        <v>88</v>
      </c>
      <c r="D4" s="12" t="str">
        <f t="array" ref="D4">IF(C4="","",IFERROR(INDEX(PRODUCTORES!$B:$B, MATCH(C4, PRODUCTORES!$F:$F, 0)) &amp; " " &amp; INDEX(PRODUCTORES!$C:$C, MATCH(C4, PRODUCTORES!$F:$F, 0)), IFERROR(INDEX(PRODUCTORES!$B:$B, MATCH(C4, PRODUCTORES!$A:$A, 0)) &amp; " " &amp; INDEX(PRODUCTORES!$C:$C, MATCH(C4, PRODUCTORES!$A:$A, 0)), IFERROR(TRIM(MID(C4, SEARCH(" - ", C4) + 3, 100)), "NO ENCONTRADO"))))</f>
        <v>ALTAMIRANO SERGIO RAMIRO</v>
      </c>
      <c r="E4" s="13" t="str">
        <f t="array" ref="E4">IF(C4="","",IFERROR(INDEX(PRODUCTORES!$D:$D, MATCH(C4, PRODUCTORES!$F:$F, 0)), IFERROR(INDEX(PRODUCTORES!$D:$D, MATCH(IF(ISNUMBER(SEARCH(" - ", C4)), LEFT(C4, SEARCH(" - ", C4) - 1), C4), PRODUCTORES!$A:$A, 0)), "-")))</f>
        <v>Sí</v>
      </c>
      <c r="F4" s="14" t="s">
        <v>70</v>
      </c>
      <c r="G4" s="15">
        <v>1.0</v>
      </c>
      <c r="H4" s="16"/>
    </row>
    <row r="5">
      <c r="A5" s="8" t="str">
        <f t="shared" si="1"/>
        <v>ENT-0001</v>
      </c>
      <c r="B5" s="9">
        <v>46279.0</v>
      </c>
      <c r="C5" s="10" t="s">
        <v>88</v>
      </c>
      <c r="D5" s="12" t="str">
        <f t="array" ref="D5">IF(C5="","",IFERROR(INDEX(PRODUCTORES!$B:$B, MATCH(C5, PRODUCTORES!$F:$F, 0)) &amp; " " &amp; INDEX(PRODUCTORES!$C:$C, MATCH(C5, PRODUCTORES!$F:$F, 0)), IFERROR(INDEX(PRODUCTORES!$B:$B, MATCH(C5, PRODUCTORES!$A:$A, 0)) &amp; " " &amp; INDEX(PRODUCTORES!$C:$C, MATCH(C5, PRODUCTORES!$A:$A, 0)), IFERROR(TRIM(MID(C5, SEARCH(" - ", C5) + 3, 100)), "NO ENCONTRADO"))))</f>
        <v>ALTAMIRANO SERGIO RAMIRO</v>
      </c>
      <c r="E5" s="13" t="str">
        <f t="array" ref="E5">IF(C5="","",IFERROR(INDEX(PRODUCTORES!$D:$D, MATCH(C5, PRODUCTORES!$F:$F, 0)), IFERROR(INDEX(PRODUCTORES!$D:$D, MATCH(IF(ISNUMBER(SEARCH(" - ", C5)), LEFT(C5, SEARCH(" - ", C5) - 1), C5), PRODUCTORES!$A:$A, 0)), "-")))</f>
        <v>Sí</v>
      </c>
      <c r="F5" s="14" t="s">
        <v>50</v>
      </c>
      <c r="G5" s="15">
        <v>1.0</v>
      </c>
      <c r="H5" s="16"/>
    </row>
    <row r="6">
      <c r="A6" s="8" t="str">
        <f t="shared" si="1"/>
        <v>ENT-0001</v>
      </c>
      <c r="B6" s="9">
        <v>46279.0</v>
      </c>
      <c r="C6" s="10" t="s">
        <v>88</v>
      </c>
      <c r="D6" s="12" t="str">
        <f t="array" ref="D6">IF(C6="","",IFERROR(INDEX(PRODUCTORES!$B:$B, MATCH(C6, PRODUCTORES!$F:$F, 0)) &amp; " " &amp; INDEX(PRODUCTORES!$C:$C, MATCH(C6, PRODUCTORES!$F:$F, 0)), IFERROR(INDEX(PRODUCTORES!$B:$B, MATCH(C6, PRODUCTORES!$A:$A, 0)) &amp; " " &amp; INDEX(PRODUCTORES!$C:$C, MATCH(C6, PRODUCTORES!$A:$A, 0)), IFERROR(TRIM(MID(C6, SEARCH(" - ", C6) + 3, 100)), "NO ENCONTRADO"))))</f>
        <v>ALTAMIRANO SERGIO RAMIRO</v>
      </c>
      <c r="E6" s="13" t="str">
        <f t="array" ref="E6">IF(C6="","",IFERROR(INDEX(PRODUCTORES!$D:$D, MATCH(C6, PRODUCTORES!$F:$F, 0)), IFERROR(INDEX(PRODUCTORES!$D:$D, MATCH(IF(ISNUMBER(SEARCH(" - ", C6)), LEFT(C6, SEARCH(" - ", C6) - 1), C6), PRODUCTORES!$A:$A, 0)), "-")))</f>
        <v>Sí</v>
      </c>
      <c r="F6" s="14" t="s">
        <v>46</v>
      </c>
      <c r="G6" s="15">
        <v>1.0</v>
      </c>
      <c r="H6" s="16"/>
    </row>
    <row r="7">
      <c r="A7" s="8" t="str">
        <f t="shared" si="1"/>
        <v>ENT-0002</v>
      </c>
      <c r="B7" s="9">
        <v>46279.0</v>
      </c>
      <c r="C7" s="10" t="s">
        <v>259</v>
      </c>
      <c r="D7" s="12" t="str">
        <f t="array" ref="D7">IF(C7="","",IFERROR(INDEX(PRODUCTORES!$B:$B, MATCH(C7, PRODUCTORES!$F:$F, 0)) &amp; " " &amp; INDEX(PRODUCTORES!$C:$C, MATCH(C7, PRODUCTORES!$F:$F, 0)), IFERROR(INDEX(PRODUCTORES!$B:$B, MATCH(C7, PRODUCTORES!$A:$A, 0)) &amp; " " &amp; INDEX(PRODUCTORES!$C:$C, MATCH(C7, PRODUCTORES!$A:$A, 0)), IFERROR(TRIM(MID(C7, SEARCH(" - ", C7) + 3, 100)), "NO ENCONTRADO"))))</f>
        <v>ASTORGA YESSICA</v>
      </c>
      <c r="E7" s="13" t="str">
        <f t="array" ref="E7">IF(C7="","",IFERROR(INDEX(PRODUCTORES!$D:$D, MATCH(C7, PRODUCTORES!$F:$F, 0)), IFERROR(INDEX(PRODUCTORES!$D:$D, MATCH(IF(ISNUMBER(SEARCH(" - ", C7)), LEFT(C7, SEARCH(" - ", C7) - 1), C7), PRODUCTORES!$A:$A, 0)), "-")))</f>
        <v>Sí</v>
      </c>
      <c r="F7" s="14" t="s">
        <v>58</v>
      </c>
      <c r="G7" s="15">
        <v>7.0</v>
      </c>
      <c r="H7" s="16"/>
    </row>
    <row r="8">
      <c r="A8" s="8" t="str">
        <f t="shared" si="1"/>
        <v>ENT-0002</v>
      </c>
      <c r="B8" s="9">
        <v>46279.0</v>
      </c>
      <c r="C8" s="10" t="s">
        <v>259</v>
      </c>
      <c r="D8" s="12" t="str">
        <f t="array" ref="D8">IF(C8="","",IFERROR(INDEX(PRODUCTORES!$B:$B, MATCH(C8, PRODUCTORES!$F:$F, 0)) &amp; " " &amp; INDEX(PRODUCTORES!$C:$C, MATCH(C8, PRODUCTORES!$F:$F, 0)), IFERROR(INDEX(PRODUCTORES!$B:$B, MATCH(C8, PRODUCTORES!$A:$A, 0)) &amp; " " &amp; INDEX(PRODUCTORES!$C:$C, MATCH(C8, PRODUCTORES!$A:$A, 0)), IFERROR(TRIM(MID(C8, SEARCH(" - ", C8) + 3, 100)), "NO ENCONTRADO"))))</f>
        <v>ASTORGA YESSICA</v>
      </c>
      <c r="E8" s="13" t="str">
        <f t="array" ref="E8">IF(C8="","",IFERROR(INDEX(PRODUCTORES!$D:$D, MATCH(C8, PRODUCTORES!$F:$F, 0)), IFERROR(INDEX(PRODUCTORES!$D:$D, MATCH(IF(ISNUMBER(SEARCH(" - ", C8)), LEFT(C8, SEARCH(" - ", C8) - 1), C8), PRODUCTORES!$A:$A, 0)), "-")))</f>
        <v>Sí</v>
      </c>
      <c r="F8" s="14" t="s">
        <v>11</v>
      </c>
      <c r="G8" s="15">
        <v>6.0</v>
      </c>
      <c r="H8" s="16"/>
    </row>
    <row r="9">
      <c r="A9" s="8" t="str">
        <f t="shared" si="1"/>
        <v>ENT-0002</v>
      </c>
      <c r="B9" s="9">
        <v>46279.0</v>
      </c>
      <c r="C9" s="10" t="s">
        <v>259</v>
      </c>
      <c r="D9" s="12" t="str">
        <f t="array" ref="D9">IF(C9="","",IFERROR(INDEX(PRODUCTORES!$B:$B, MATCH(C9, PRODUCTORES!$F:$F, 0)) &amp; " " &amp; INDEX(PRODUCTORES!$C:$C, MATCH(C9, PRODUCTORES!$F:$F, 0)), IFERROR(INDEX(PRODUCTORES!$B:$B, MATCH(C9, PRODUCTORES!$A:$A, 0)) &amp; " " &amp; INDEX(PRODUCTORES!$C:$C, MATCH(C9, PRODUCTORES!$A:$A, 0)), IFERROR(TRIM(MID(C9, SEARCH(" - ", C9) + 3, 100)), "NO ENCONTRADO"))))</f>
        <v>ASTORGA YESSICA</v>
      </c>
      <c r="E9" s="13" t="str">
        <f t="array" ref="E9">IF(C9="","",IFERROR(INDEX(PRODUCTORES!$D:$D, MATCH(C9, PRODUCTORES!$F:$F, 0)), IFERROR(INDEX(PRODUCTORES!$D:$D, MATCH(IF(ISNUMBER(SEARCH(" - ", C9)), LEFT(C9, SEARCH(" - ", C9) - 1), C9), PRODUCTORES!$A:$A, 0)), "-")))</f>
        <v>Sí</v>
      </c>
      <c r="F9" s="14" t="s">
        <v>81</v>
      </c>
      <c r="G9" s="15">
        <v>3.0</v>
      </c>
      <c r="H9" s="16"/>
    </row>
    <row r="10">
      <c r="A10" s="8" t="str">
        <f t="shared" si="1"/>
        <v>ENT-0003</v>
      </c>
      <c r="B10" s="9">
        <v>46279.0</v>
      </c>
      <c r="C10" s="10" t="s">
        <v>226</v>
      </c>
      <c r="D10" s="12" t="str">
        <f t="array" ref="D10">IF(C10="","",IFERROR(INDEX(PRODUCTORES!$B:$B, MATCH(C10, PRODUCTORES!$F:$F, 0)) &amp; " " &amp; INDEX(PRODUCTORES!$C:$C, MATCH(C10, PRODUCTORES!$F:$F, 0)), IFERROR(INDEX(PRODUCTORES!$B:$B, MATCH(C10, PRODUCTORES!$A:$A, 0)) &amp; " " &amp; INDEX(PRODUCTORES!$C:$C, MATCH(C10, PRODUCTORES!$A:$A, 0)), IFERROR(TRIM(MID(C10, SEARCH(" - ", C10) + 3, 100)), "NO ENCONTRADO"))))</f>
        <v>ARAOZ CORI VICTOR</v>
      </c>
      <c r="E10" s="13" t="str">
        <f t="array" ref="E10">IF(C10="","",IFERROR(INDEX(PRODUCTORES!$D:$D, MATCH(C10, PRODUCTORES!$F:$F, 0)), IFERROR(INDEX(PRODUCTORES!$D:$D, MATCH(IF(ISNUMBER(SEARCH(" - ", C10)), LEFT(C10, SEARCH(" - ", C10) - 1), C10), PRODUCTORES!$A:$A, 0)), "-")))</f>
        <v>Sí</v>
      </c>
      <c r="F10" s="14" t="s">
        <v>58</v>
      </c>
      <c r="G10" s="15">
        <v>4.0</v>
      </c>
      <c r="H10" s="16"/>
    </row>
    <row r="11">
      <c r="A11" s="8" t="str">
        <f t="shared" si="1"/>
        <v>ENT-0003</v>
      </c>
      <c r="B11" s="9">
        <v>46279.0</v>
      </c>
      <c r="C11" s="10" t="s">
        <v>226</v>
      </c>
      <c r="D11" s="12" t="str">
        <f t="array" ref="D11">IF(C11="","",IFERROR(INDEX(PRODUCTORES!$B:$B, MATCH(C11, PRODUCTORES!$F:$F, 0)) &amp; " " &amp; INDEX(PRODUCTORES!$C:$C, MATCH(C11, PRODUCTORES!$F:$F, 0)), IFERROR(INDEX(PRODUCTORES!$B:$B, MATCH(C11, PRODUCTORES!$A:$A, 0)) &amp; " " &amp; INDEX(PRODUCTORES!$C:$C, MATCH(C11, PRODUCTORES!$A:$A, 0)), IFERROR(TRIM(MID(C11, SEARCH(" - ", C11) + 3, 100)), "NO ENCONTRADO"))))</f>
        <v>ARAOZ CORI VICTOR</v>
      </c>
      <c r="E11" s="13" t="str">
        <f t="array" ref="E11">IF(C11="","",IFERROR(INDEX(PRODUCTORES!$D:$D, MATCH(C11, PRODUCTORES!$F:$F, 0)), IFERROR(INDEX(PRODUCTORES!$D:$D, MATCH(IF(ISNUMBER(SEARCH(" - ", C11)), LEFT(C11, SEARCH(" - ", C11) - 1), C11), PRODUCTORES!$A:$A, 0)), "-")))</f>
        <v>Sí</v>
      </c>
      <c r="F11" s="14" t="s">
        <v>70</v>
      </c>
      <c r="G11" s="15">
        <v>1.0</v>
      </c>
      <c r="H11" s="16"/>
    </row>
    <row r="12">
      <c r="A12" s="8" t="str">
        <f t="shared" si="1"/>
        <v>ENT-0003</v>
      </c>
      <c r="B12" s="9">
        <v>46279.0</v>
      </c>
      <c r="C12" s="10" t="s">
        <v>226</v>
      </c>
      <c r="D12" s="12" t="str">
        <f t="array" ref="D12">IF(C12="","",IFERROR(INDEX(PRODUCTORES!$B:$B, MATCH(C12, PRODUCTORES!$F:$F, 0)) &amp; " " &amp; INDEX(PRODUCTORES!$C:$C, MATCH(C12, PRODUCTORES!$F:$F, 0)), IFERROR(INDEX(PRODUCTORES!$B:$B, MATCH(C12, PRODUCTORES!$A:$A, 0)) &amp; " " &amp; INDEX(PRODUCTORES!$C:$C, MATCH(C12, PRODUCTORES!$A:$A, 0)), IFERROR(TRIM(MID(C12, SEARCH(" - ", C12) + 3, 100)), "NO ENCONTRADO"))))</f>
        <v>ARAOZ CORI VICTOR</v>
      </c>
      <c r="E12" s="13" t="str">
        <f t="array" ref="E12">IF(C12="","",IFERROR(INDEX(PRODUCTORES!$D:$D, MATCH(C12, PRODUCTORES!$F:$F, 0)), IFERROR(INDEX(PRODUCTORES!$D:$D, MATCH(IF(ISNUMBER(SEARCH(" - ", C12)), LEFT(C12, SEARCH(" - ", C12) - 1), C12), PRODUCTORES!$A:$A, 0)), "-")))</f>
        <v>Sí</v>
      </c>
      <c r="F12" s="14" t="s">
        <v>46</v>
      </c>
      <c r="G12" s="15">
        <v>1.0</v>
      </c>
      <c r="H12" s="16"/>
    </row>
    <row r="13">
      <c r="A13" s="8" t="str">
        <f t="shared" si="1"/>
        <v>ENT-0003</v>
      </c>
      <c r="B13" s="9">
        <v>46279.0</v>
      </c>
      <c r="C13" s="10" t="s">
        <v>226</v>
      </c>
      <c r="D13" s="12" t="str">
        <f t="array" ref="D13">IF(C13="","",IFERROR(INDEX(PRODUCTORES!$B:$B, MATCH(C13, PRODUCTORES!$F:$F, 0)) &amp; " " &amp; INDEX(PRODUCTORES!$C:$C, MATCH(C13, PRODUCTORES!$F:$F, 0)), IFERROR(INDEX(PRODUCTORES!$B:$B, MATCH(C13, PRODUCTORES!$A:$A, 0)) &amp; " " &amp; INDEX(PRODUCTORES!$C:$C, MATCH(C13, PRODUCTORES!$A:$A, 0)), IFERROR(TRIM(MID(C13, SEARCH(" - ", C13) + 3, 100)), "NO ENCONTRADO"))))</f>
        <v>ARAOZ CORI VICTOR</v>
      </c>
      <c r="E13" s="13" t="str">
        <f t="array" ref="E13">IF(C13="","",IFERROR(INDEX(PRODUCTORES!$D:$D, MATCH(C13, PRODUCTORES!$F:$F, 0)), IFERROR(INDEX(PRODUCTORES!$D:$D, MATCH(IF(ISNUMBER(SEARCH(" - ", C13)), LEFT(C13, SEARCH(" - ", C13) - 1), C13), PRODUCTORES!$A:$A, 0)), "-")))</f>
        <v>Sí</v>
      </c>
      <c r="F13" s="14" t="s">
        <v>27</v>
      </c>
      <c r="G13" s="15">
        <v>1.0</v>
      </c>
      <c r="H13" s="16"/>
    </row>
    <row r="14">
      <c r="A14" s="8" t="str">
        <f t="shared" si="1"/>
        <v>ENT-0004</v>
      </c>
      <c r="B14" s="9">
        <v>46279.0</v>
      </c>
      <c r="C14" s="10" t="s">
        <v>282</v>
      </c>
      <c r="D14" s="12" t="str">
        <f t="array" ref="D14">IF(C14="","",IFERROR(INDEX(PRODUCTORES!$B:$B, MATCH(C14, PRODUCTORES!$F:$F, 0)) &amp; " " &amp; INDEX(PRODUCTORES!$C:$C, MATCH(C14, PRODUCTORES!$F:$F, 0)), IFERROR(INDEX(PRODUCTORES!$B:$B, MATCH(C14, PRODUCTORES!$A:$A, 0)) &amp; " " &amp; INDEX(PRODUCTORES!$C:$C, MATCH(C14, PRODUCTORES!$A:$A, 0)), IFERROR(TRIM(MID(C14, SEARCH(" - ", C14) + 3, 100)), "NO ENCONTRADO"))))</f>
        <v>BALCAZAR VILLARROEL SILVIA DEL CARMEN</v>
      </c>
      <c r="E14" s="13" t="str">
        <f t="array" ref="E14">IF(C14="","",IFERROR(INDEX(PRODUCTORES!$D:$D, MATCH(C14, PRODUCTORES!$F:$F, 0)), IFERROR(INDEX(PRODUCTORES!$D:$D, MATCH(IF(ISNUMBER(SEARCH(" - ", C14)), LEFT(C14, SEARCH(" - ", C14) - 1), C14), PRODUCTORES!$A:$A, 0)), "-")))</f>
        <v>Sí</v>
      </c>
      <c r="F14" s="14" t="s">
        <v>58</v>
      </c>
      <c r="G14" s="15">
        <v>1.0</v>
      </c>
      <c r="H14" s="16"/>
    </row>
    <row r="15">
      <c r="A15" s="8" t="str">
        <f t="shared" si="1"/>
        <v>ENT-0004</v>
      </c>
      <c r="B15" s="9">
        <v>46279.0</v>
      </c>
      <c r="C15" s="10" t="s">
        <v>282</v>
      </c>
      <c r="D15" s="12" t="str">
        <f t="array" ref="D15">IF(C15="","",IFERROR(INDEX(PRODUCTORES!$B:$B, MATCH(C15, PRODUCTORES!$F:$F, 0)) &amp; " " &amp; INDEX(PRODUCTORES!$C:$C, MATCH(C15, PRODUCTORES!$F:$F, 0)), IFERROR(INDEX(PRODUCTORES!$B:$B, MATCH(C15, PRODUCTORES!$A:$A, 0)) &amp; " " &amp; INDEX(PRODUCTORES!$C:$C, MATCH(C15, PRODUCTORES!$A:$A, 0)), IFERROR(TRIM(MID(C15, SEARCH(" - ", C15) + 3, 100)), "NO ENCONTRADO"))))</f>
        <v>BALCAZAR VILLARROEL SILVIA DEL CARMEN</v>
      </c>
      <c r="E15" s="13" t="str">
        <f t="array" ref="E15">IF(C15="","",IFERROR(INDEX(PRODUCTORES!$D:$D, MATCH(C15, PRODUCTORES!$F:$F, 0)), IFERROR(INDEX(PRODUCTORES!$D:$D, MATCH(IF(ISNUMBER(SEARCH(" - ", C15)), LEFT(C15, SEARCH(" - ", C15) - 1), C15), PRODUCTORES!$A:$A, 0)), "-")))</f>
        <v>Sí</v>
      </c>
      <c r="F15" s="14" t="s">
        <v>46</v>
      </c>
      <c r="G15" s="15">
        <v>2.0</v>
      </c>
      <c r="H15" s="16"/>
    </row>
    <row r="16">
      <c r="A16" s="8" t="str">
        <f t="shared" si="1"/>
        <v>ENT-0004</v>
      </c>
      <c r="B16" s="9">
        <v>46279.0</v>
      </c>
      <c r="C16" s="10" t="s">
        <v>282</v>
      </c>
      <c r="D16" s="12" t="str">
        <f t="array" ref="D16">IF(C16="","",IFERROR(INDEX(PRODUCTORES!$B:$B, MATCH(C16, PRODUCTORES!$F:$F, 0)) &amp; " " &amp; INDEX(PRODUCTORES!$C:$C, MATCH(C16, PRODUCTORES!$F:$F, 0)), IFERROR(INDEX(PRODUCTORES!$B:$B, MATCH(C16, PRODUCTORES!$A:$A, 0)) &amp; " " &amp; INDEX(PRODUCTORES!$C:$C, MATCH(C16, PRODUCTORES!$A:$A, 0)), IFERROR(TRIM(MID(C16, SEARCH(" - ", C16) + 3, 100)), "NO ENCONTRADO"))))</f>
        <v>BALCAZAR VILLARROEL SILVIA DEL CARMEN</v>
      </c>
      <c r="E16" s="13" t="str">
        <f t="array" ref="E16">IF(C16="","",IFERROR(INDEX(PRODUCTORES!$D:$D, MATCH(C16, PRODUCTORES!$F:$F, 0)), IFERROR(INDEX(PRODUCTORES!$D:$D, MATCH(IF(ISNUMBER(SEARCH(" - ", C16)), LEFT(C16, SEARCH(" - ", C16) - 1), C16), PRODUCTORES!$A:$A, 0)), "-")))</f>
        <v>Sí</v>
      </c>
      <c r="F16" s="14" t="s">
        <v>50</v>
      </c>
      <c r="G16" s="15">
        <v>2.0</v>
      </c>
      <c r="H16" s="16"/>
    </row>
    <row r="17">
      <c r="A17" s="8" t="str">
        <f t="shared" si="1"/>
        <v>ENT-0004</v>
      </c>
      <c r="B17" s="9">
        <v>46279.0</v>
      </c>
      <c r="C17" s="10" t="s">
        <v>282</v>
      </c>
      <c r="D17" s="12" t="str">
        <f t="array" ref="D17">IF(C17="","",IFERROR(INDEX(PRODUCTORES!$B:$B, MATCH(C17, PRODUCTORES!$F:$F, 0)) &amp; " " &amp; INDEX(PRODUCTORES!$C:$C, MATCH(C17, PRODUCTORES!$F:$F, 0)), IFERROR(INDEX(PRODUCTORES!$B:$B, MATCH(C17, PRODUCTORES!$A:$A, 0)) &amp; " " &amp; INDEX(PRODUCTORES!$C:$C, MATCH(C17, PRODUCTORES!$A:$A, 0)), IFERROR(TRIM(MID(C17, SEARCH(" - ", C17) + 3, 100)), "NO ENCONTRADO"))))</f>
        <v>BALCAZAR VILLARROEL SILVIA DEL CARMEN</v>
      </c>
      <c r="E17" s="13" t="str">
        <f t="array" ref="E17">IF(C17="","",IFERROR(INDEX(PRODUCTORES!$D:$D, MATCH(C17, PRODUCTORES!$F:$F, 0)), IFERROR(INDEX(PRODUCTORES!$D:$D, MATCH(IF(ISNUMBER(SEARCH(" - ", C17)), LEFT(C17, SEARCH(" - ", C17) - 1), C17), PRODUCTORES!$A:$A, 0)), "-")))</f>
        <v>Sí</v>
      </c>
      <c r="F17" s="14" t="s">
        <v>81</v>
      </c>
      <c r="G17" s="15">
        <v>1.0</v>
      </c>
      <c r="H17" s="16"/>
    </row>
    <row r="18">
      <c r="A18" s="8" t="str">
        <f t="shared" si="1"/>
        <v>ENT-0005</v>
      </c>
      <c r="B18" s="9">
        <v>46279.0</v>
      </c>
      <c r="C18" s="10" t="s">
        <v>309</v>
      </c>
      <c r="D18" s="12" t="str">
        <f t="array" ref="D18">IF(C18="","",IFERROR(INDEX(PRODUCTORES!$B:$B, MATCH(C18, PRODUCTORES!$F:$F, 0)) &amp; " " &amp; INDEX(PRODUCTORES!$C:$C, MATCH(C18, PRODUCTORES!$F:$F, 0)), IFERROR(INDEX(PRODUCTORES!$B:$B, MATCH(C18, PRODUCTORES!$A:$A, 0)) &amp; " " &amp; INDEX(PRODUCTORES!$C:$C, MATCH(C18, PRODUCTORES!$A:$A, 0)), IFERROR(TRIM(MID(C18, SEARCH(" - ", C18) + 3, 100)), "NO ENCONTRADO"))))</f>
        <v>BARRIENTOS ANA ROSA</v>
      </c>
      <c r="E18" s="13" t="str">
        <f t="array" ref="E18">IF(C18="","",IFERROR(INDEX(PRODUCTORES!$D:$D, MATCH(C18, PRODUCTORES!$F:$F, 0)), IFERROR(INDEX(PRODUCTORES!$D:$D, MATCH(IF(ISNUMBER(SEARCH(" - ", C18)), LEFT(C18, SEARCH(" - ", C18) - 1), C18), PRODUCTORES!$A:$A, 0)), "-")))</f>
        <v>Sí</v>
      </c>
      <c r="F18" s="14" t="s">
        <v>58</v>
      </c>
      <c r="G18" s="15">
        <v>1.0</v>
      </c>
      <c r="H18" s="16"/>
    </row>
    <row r="19">
      <c r="A19" s="8" t="str">
        <f t="shared" si="1"/>
        <v>ENT-0005</v>
      </c>
      <c r="B19" s="9">
        <v>46279.0</v>
      </c>
      <c r="C19" s="10" t="s">
        <v>309</v>
      </c>
      <c r="D19" s="12" t="str">
        <f t="array" ref="D19">IF(C19="","",IFERROR(INDEX(PRODUCTORES!$B:$B, MATCH(C19, PRODUCTORES!$F:$F, 0)) &amp; " " &amp; INDEX(PRODUCTORES!$C:$C, MATCH(C19, PRODUCTORES!$F:$F, 0)), IFERROR(INDEX(PRODUCTORES!$B:$B, MATCH(C19, PRODUCTORES!$A:$A, 0)) &amp; " " &amp; INDEX(PRODUCTORES!$C:$C, MATCH(C19, PRODUCTORES!$A:$A, 0)), IFERROR(TRIM(MID(C19, SEARCH(" - ", C19) + 3, 100)), "NO ENCONTRADO"))))</f>
        <v>BARRIENTOS ANA ROSA</v>
      </c>
      <c r="E19" s="13" t="str">
        <f t="array" ref="E19">IF(C19="","",IFERROR(INDEX(PRODUCTORES!$D:$D, MATCH(C19, PRODUCTORES!$F:$F, 0)), IFERROR(INDEX(PRODUCTORES!$D:$D, MATCH(IF(ISNUMBER(SEARCH(" - ", C19)), LEFT(C19, SEARCH(" - ", C19) - 1), C19), PRODUCTORES!$A:$A, 0)), "-")))</f>
        <v>Sí</v>
      </c>
      <c r="F19" s="14" t="s">
        <v>70</v>
      </c>
      <c r="G19" s="15">
        <v>1.0</v>
      </c>
      <c r="H19" s="16"/>
    </row>
    <row r="20">
      <c r="A20" s="8" t="str">
        <f t="shared" si="1"/>
        <v>ENT-0005</v>
      </c>
      <c r="B20" s="9">
        <v>46279.0</v>
      </c>
      <c r="C20" s="10" t="s">
        <v>309</v>
      </c>
      <c r="D20" s="12" t="str">
        <f t="array" ref="D20">IF(C20="","",IFERROR(INDEX(PRODUCTORES!$B:$B, MATCH(C20, PRODUCTORES!$F:$F, 0)) &amp; " " &amp; INDEX(PRODUCTORES!$C:$C, MATCH(C20, PRODUCTORES!$F:$F, 0)), IFERROR(INDEX(PRODUCTORES!$B:$B, MATCH(C20, PRODUCTORES!$A:$A, 0)) &amp; " " &amp; INDEX(PRODUCTORES!$C:$C, MATCH(C20, PRODUCTORES!$A:$A, 0)), IFERROR(TRIM(MID(C20, SEARCH(" - ", C20) + 3, 100)), "NO ENCONTRADO"))))</f>
        <v>BARRIENTOS ANA ROSA</v>
      </c>
      <c r="E20" s="13" t="str">
        <f t="array" ref="E20">IF(C20="","",IFERROR(INDEX(PRODUCTORES!$D:$D, MATCH(C20, PRODUCTORES!$F:$F, 0)), IFERROR(INDEX(PRODUCTORES!$D:$D, MATCH(IF(ISNUMBER(SEARCH(" - ", C20)), LEFT(C20, SEARCH(" - ", C20) - 1), C20), PRODUCTORES!$A:$A, 0)), "-")))</f>
        <v>Sí</v>
      </c>
      <c r="F20" s="14" t="s">
        <v>50</v>
      </c>
      <c r="G20" s="15">
        <v>1.0</v>
      </c>
      <c r="H20" s="14"/>
    </row>
    <row r="21" ht="15.75" customHeight="1">
      <c r="A21" s="8" t="str">
        <f t="shared" si="1"/>
        <v>ENT-0005</v>
      </c>
      <c r="B21" s="9">
        <v>46279.0</v>
      </c>
      <c r="C21" s="10" t="s">
        <v>309</v>
      </c>
      <c r="D21" s="12" t="str">
        <f t="array" ref="D21">IF(C21="","",IFERROR(INDEX(PRODUCTORES!$B:$B, MATCH(C21, PRODUCTORES!$F:$F, 0)) &amp; " " &amp; INDEX(PRODUCTORES!$C:$C, MATCH(C21, PRODUCTORES!$F:$F, 0)), IFERROR(INDEX(PRODUCTORES!$B:$B, MATCH(C21, PRODUCTORES!$A:$A, 0)) &amp; " " &amp; INDEX(PRODUCTORES!$C:$C, MATCH(C21, PRODUCTORES!$A:$A, 0)), IFERROR(TRIM(MID(C21, SEARCH(" - ", C21) + 3, 100)), "NO ENCONTRADO"))))</f>
        <v>BARRIENTOS ANA ROSA</v>
      </c>
      <c r="E21" s="13" t="str">
        <f t="array" ref="E21">IF(C21="","",IFERROR(INDEX(PRODUCTORES!$D:$D, MATCH(C21, PRODUCTORES!$F:$F, 0)), IFERROR(INDEX(PRODUCTORES!$D:$D, MATCH(IF(ISNUMBER(SEARCH(" - ", C21)), LEFT(C21, SEARCH(" - ", C21) - 1), C21), PRODUCTORES!$A:$A, 0)), "-")))</f>
        <v>Sí</v>
      </c>
      <c r="F21" s="14" t="s">
        <v>11</v>
      </c>
      <c r="G21" s="15">
        <v>1.0</v>
      </c>
      <c r="H21" s="14"/>
    </row>
    <row r="22" ht="15.75" customHeight="1">
      <c r="A22" s="8" t="str">
        <f t="shared" si="1"/>
        <v>ENT-0005</v>
      </c>
      <c r="B22" s="9">
        <v>46279.0</v>
      </c>
      <c r="C22" s="10" t="s">
        <v>309</v>
      </c>
      <c r="D22" s="12" t="str">
        <f t="array" ref="D22">IF(C22="","",IFERROR(INDEX(PRODUCTORES!$B:$B, MATCH(C22, PRODUCTORES!$F:$F, 0)) &amp; " " &amp; INDEX(PRODUCTORES!$C:$C, MATCH(C22, PRODUCTORES!$F:$F, 0)), IFERROR(INDEX(PRODUCTORES!$B:$B, MATCH(C22, PRODUCTORES!$A:$A, 0)) &amp; " " &amp; INDEX(PRODUCTORES!$C:$C, MATCH(C22, PRODUCTORES!$A:$A, 0)), IFERROR(TRIM(MID(C22, SEARCH(" - ", C22) + 3, 100)), "NO ENCONTRADO"))))</f>
        <v>BARRIENTOS ANA ROSA</v>
      </c>
      <c r="E22" s="13" t="str">
        <f t="array" ref="E22">IF(C22="","",IFERROR(INDEX(PRODUCTORES!$D:$D, MATCH(C22, PRODUCTORES!$F:$F, 0)), IFERROR(INDEX(PRODUCTORES!$D:$D, MATCH(IF(ISNUMBER(SEARCH(" - ", C22)), LEFT(C22, SEARCH(" - ", C22) - 1), C22), PRODUCTORES!$A:$A, 0)), "-")))</f>
        <v>Sí</v>
      </c>
      <c r="F22" s="14" t="s">
        <v>46</v>
      </c>
      <c r="G22" s="15">
        <v>1.0</v>
      </c>
      <c r="H22" s="14"/>
    </row>
    <row r="23" ht="15.75" customHeight="1">
      <c r="A23" s="8" t="str">
        <f t="shared" si="1"/>
        <v>ENT-0006</v>
      </c>
      <c r="B23" s="9">
        <v>46279.0</v>
      </c>
      <c r="C23" s="10" t="s">
        <v>1083</v>
      </c>
      <c r="D23" s="12" t="str">
        <f t="array" ref="D23">IF(C23="","",IFERROR(INDEX(PRODUCTORES!$B:$B, MATCH(C23, PRODUCTORES!$F:$F, 0)) &amp; " " &amp; INDEX(PRODUCTORES!$C:$C, MATCH(C23, PRODUCTORES!$F:$F, 0)), IFERROR(INDEX(PRODUCTORES!$B:$B, MATCH(C23, PRODUCTORES!$A:$A, 0)) &amp; " " &amp; INDEX(PRODUCTORES!$C:$C, MATCH(C23, PRODUCTORES!$A:$A, 0)), IFERROR(TRIM(MID(C23, SEARCH(" - ", C23) + 3, 100)), "NO ENCONTRADO"))))</f>
        <v>NIEVA BELINDA OMAR</v>
      </c>
      <c r="E23" s="13" t="str">
        <f t="array" ref="E23">IF(C23="","",IFERROR(INDEX(PRODUCTORES!$D:$D, MATCH(C23, PRODUCTORES!$F:$F, 0)), IFERROR(INDEX(PRODUCTORES!$D:$D, MATCH(IF(ISNUMBER(SEARCH(" - ", C23)), LEFT(C23, SEARCH(" - ", C23) - 1), C23), PRODUCTORES!$A:$A, 0)), "-")))</f>
        <v>Sí</v>
      </c>
      <c r="F23" s="14" t="s">
        <v>58</v>
      </c>
      <c r="G23" s="15">
        <v>1.0</v>
      </c>
      <c r="H23" s="16"/>
    </row>
    <row r="24" ht="15.75" customHeight="1">
      <c r="A24" s="8" t="str">
        <f t="shared" si="1"/>
        <v>ENT-0006</v>
      </c>
      <c r="B24" s="9">
        <v>46279.0</v>
      </c>
      <c r="C24" s="10" t="s">
        <v>1083</v>
      </c>
      <c r="D24" s="12" t="str">
        <f t="array" ref="D24">IF(C24="","",IFERROR(INDEX(PRODUCTORES!$B:$B, MATCH(C24, PRODUCTORES!$F:$F, 0)) &amp; " " &amp; INDEX(PRODUCTORES!$C:$C, MATCH(C24, PRODUCTORES!$F:$F, 0)), IFERROR(INDEX(PRODUCTORES!$B:$B, MATCH(C24, PRODUCTORES!$A:$A, 0)) &amp; " " &amp; INDEX(PRODUCTORES!$C:$C, MATCH(C24, PRODUCTORES!$A:$A, 0)), IFERROR(TRIM(MID(C24, SEARCH(" - ", C24) + 3, 100)), "NO ENCONTRADO"))))</f>
        <v>NIEVA BELINDA OMAR</v>
      </c>
      <c r="E24" s="13" t="str">
        <f t="array" ref="E24">IF(C24="","",IFERROR(INDEX(PRODUCTORES!$D:$D, MATCH(C24, PRODUCTORES!$F:$F, 0)), IFERROR(INDEX(PRODUCTORES!$D:$D, MATCH(IF(ISNUMBER(SEARCH(" - ", C24)), LEFT(C24, SEARCH(" - ", C24) - 1), C24), PRODUCTORES!$A:$A, 0)), "-")))</f>
        <v>Sí</v>
      </c>
      <c r="F24" s="14" t="s">
        <v>11</v>
      </c>
      <c r="G24" s="15">
        <v>1.0</v>
      </c>
      <c r="H24" s="14"/>
    </row>
    <row r="25" ht="15.75" customHeight="1">
      <c r="A25" s="8" t="str">
        <f t="shared" si="1"/>
        <v>ENT-0006</v>
      </c>
      <c r="B25" s="9">
        <v>46279.0</v>
      </c>
      <c r="C25" s="10" t="s">
        <v>1083</v>
      </c>
      <c r="D25" s="12" t="str">
        <f t="array" ref="D25">IF(C25="","",IFERROR(INDEX(PRODUCTORES!$B:$B, MATCH(C25, PRODUCTORES!$F:$F, 0)) &amp; " " &amp; INDEX(PRODUCTORES!$C:$C, MATCH(C25, PRODUCTORES!$F:$F, 0)), IFERROR(INDEX(PRODUCTORES!$B:$B, MATCH(C25, PRODUCTORES!$A:$A, 0)) &amp; " " &amp; INDEX(PRODUCTORES!$C:$C, MATCH(C25, PRODUCTORES!$A:$A, 0)), IFERROR(TRIM(MID(C25, SEARCH(" - ", C25) + 3, 100)), "NO ENCONTRADO"))))</f>
        <v>NIEVA BELINDA OMAR</v>
      </c>
      <c r="E25" s="13" t="str">
        <f t="array" ref="E25">IF(C25="","",IFERROR(INDEX(PRODUCTORES!$D:$D, MATCH(C25, PRODUCTORES!$F:$F, 0)), IFERROR(INDEX(PRODUCTORES!$D:$D, MATCH(IF(ISNUMBER(SEARCH(" - ", C25)), LEFT(C25, SEARCH(" - ", C25) - 1), C25), PRODUCTORES!$A:$A, 0)), "-")))</f>
        <v>Sí</v>
      </c>
      <c r="F25" s="14" t="s">
        <v>81</v>
      </c>
      <c r="G25" s="15">
        <v>2.0</v>
      </c>
      <c r="H25" s="14"/>
    </row>
    <row r="26" ht="15.75" customHeight="1">
      <c r="A26" s="8" t="str">
        <f t="shared" si="1"/>
        <v>ENT-0006</v>
      </c>
      <c r="B26" s="9">
        <v>46279.0</v>
      </c>
      <c r="C26" s="10" t="s">
        <v>1083</v>
      </c>
      <c r="D26" s="12" t="str">
        <f t="array" ref="D26">IF(C26="","",IFERROR(INDEX(PRODUCTORES!$B:$B, MATCH(C26, PRODUCTORES!$F:$F, 0)) &amp; " " &amp; INDEX(PRODUCTORES!$C:$C, MATCH(C26, PRODUCTORES!$F:$F, 0)), IFERROR(INDEX(PRODUCTORES!$B:$B, MATCH(C26, PRODUCTORES!$A:$A, 0)) &amp; " " &amp; INDEX(PRODUCTORES!$C:$C, MATCH(C26, PRODUCTORES!$A:$A, 0)), IFERROR(TRIM(MID(C26, SEARCH(" - ", C26) + 3, 100)), "NO ENCONTRADO"))))</f>
        <v>NIEVA BELINDA OMAR</v>
      </c>
      <c r="E26" s="13" t="str">
        <f t="array" ref="E26">IF(C26="","",IFERROR(INDEX(PRODUCTORES!$D:$D, MATCH(C26, PRODUCTORES!$F:$F, 0)), IFERROR(INDEX(PRODUCTORES!$D:$D, MATCH(IF(ISNUMBER(SEARCH(" - ", C26)), LEFT(C26, SEARCH(" - ", C26) - 1), C26), PRODUCTORES!$A:$A, 0)), "-")))</f>
        <v>Sí</v>
      </c>
      <c r="F26" s="14" t="s">
        <v>70</v>
      </c>
      <c r="G26" s="15">
        <v>1.0</v>
      </c>
      <c r="H26" s="14"/>
    </row>
    <row r="27" ht="15.75" customHeight="1">
      <c r="A27" s="8" t="str">
        <f t="shared" si="1"/>
        <v>ENT-0006</v>
      </c>
      <c r="B27" s="9">
        <v>46279.0</v>
      </c>
      <c r="C27" s="10" t="s">
        <v>1083</v>
      </c>
      <c r="D27" s="12" t="str">
        <f t="array" ref="D27">IF(C27="","",IFERROR(INDEX(PRODUCTORES!$B:$B, MATCH(C27, PRODUCTORES!$F:$F, 0)) &amp; " " &amp; INDEX(PRODUCTORES!$C:$C, MATCH(C27, PRODUCTORES!$F:$F, 0)), IFERROR(INDEX(PRODUCTORES!$B:$B, MATCH(C27, PRODUCTORES!$A:$A, 0)) &amp; " " &amp; INDEX(PRODUCTORES!$C:$C, MATCH(C27, PRODUCTORES!$A:$A, 0)), IFERROR(TRIM(MID(C27, SEARCH(" - ", C27) + 3, 100)), "NO ENCONTRADO"))))</f>
        <v>NIEVA BELINDA OMAR</v>
      </c>
      <c r="E27" s="13" t="str">
        <f t="array" ref="E27">IF(C27="","",IFERROR(INDEX(PRODUCTORES!$D:$D, MATCH(C27, PRODUCTORES!$F:$F, 0)), IFERROR(INDEX(PRODUCTORES!$D:$D, MATCH(IF(ISNUMBER(SEARCH(" - ", C27)), LEFT(C27, SEARCH(" - ", C27) - 1), C27), PRODUCTORES!$A:$A, 0)), "-")))</f>
        <v>Sí</v>
      </c>
      <c r="F27" s="14" t="s">
        <v>50</v>
      </c>
      <c r="G27" s="15">
        <v>1.0</v>
      </c>
      <c r="H27" s="14"/>
    </row>
    <row r="28" ht="15.75" customHeight="1">
      <c r="A28" s="8" t="str">
        <f t="shared" si="1"/>
        <v>ENT-0007</v>
      </c>
      <c r="B28" s="9">
        <v>46279.0</v>
      </c>
      <c r="C28" s="10" t="s">
        <v>362</v>
      </c>
      <c r="D28" s="12" t="str">
        <f t="array" ref="D28">IF(C28="","",IFERROR(INDEX(PRODUCTORES!$B:$B, MATCH(C28, PRODUCTORES!$F:$F, 0)) &amp; " " &amp; INDEX(PRODUCTORES!$C:$C, MATCH(C28, PRODUCTORES!$F:$F, 0)), IFERROR(INDEX(PRODUCTORES!$B:$B, MATCH(C28, PRODUCTORES!$A:$A, 0)) &amp; " " &amp; INDEX(PRODUCTORES!$C:$C, MATCH(C28, PRODUCTORES!$A:$A, 0)), IFERROR(TRIM(MID(C28, SEARCH(" - ", C28) + 3, 100)), "NO ENCONTRADO"))))</f>
        <v>CABAÑA PEDRO LUIS</v>
      </c>
      <c r="E28" s="13" t="str">
        <f t="array" ref="E28">IF(C28="","",IFERROR(INDEX(PRODUCTORES!$D:$D, MATCH(C28, PRODUCTORES!$F:$F, 0)), IFERROR(INDEX(PRODUCTORES!$D:$D, MATCH(IF(ISNUMBER(SEARCH(" - ", C28)), LEFT(C28, SEARCH(" - ", C28) - 1), C28), PRODUCTORES!$A:$A, 0)), "-")))</f>
        <v>Sí</v>
      </c>
      <c r="F28" s="14" t="s">
        <v>58</v>
      </c>
      <c r="G28" s="15">
        <v>2.0</v>
      </c>
      <c r="H28" s="16"/>
    </row>
    <row r="29" ht="15.75" customHeight="1">
      <c r="A29" s="8" t="str">
        <f t="shared" si="1"/>
        <v>ENT-0008</v>
      </c>
      <c r="B29" s="9">
        <v>46279.0</v>
      </c>
      <c r="C29" s="10" t="s">
        <v>463</v>
      </c>
      <c r="D29" s="12" t="str">
        <f t="array" ref="D29">IF(C29="","",IFERROR(INDEX(PRODUCTORES!$B:$B, MATCH(C29, PRODUCTORES!$F:$F, 0)) &amp; " " &amp; INDEX(PRODUCTORES!$C:$C, MATCH(C29, PRODUCTORES!$F:$F, 0)), IFERROR(INDEX(PRODUCTORES!$B:$B, MATCH(C29, PRODUCTORES!$A:$A, 0)) &amp; " " &amp; INDEX(PRODUCTORES!$C:$C, MATCH(C29, PRODUCTORES!$A:$A, 0)), IFERROR(TRIM(MID(C29, SEARCH(" - ", C29) + 3, 100)), "NO ENCONTRADO"))))</f>
        <v>CHANQUE RODOLFO</v>
      </c>
      <c r="E29" s="13" t="str">
        <f t="array" ref="E29">IF(C29="","",IFERROR(INDEX(PRODUCTORES!$D:$D, MATCH(C29, PRODUCTORES!$F:$F, 0)), IFERROR(INDEX(PRODUCTORES!$D:$D, MATCH(IF(ISNUMBER(SEARCH(" - ", C29)), LEFT(C29, SEARCH(" - ", C29) - 1), C29), PRODUCTORES!$A:$A, 0)), "-")))</f>
        <v>Sí</v>
      </c>
      <c r="F29" s="14" t="s">
        <v>58</v>
      </c>
      <c r="G29" s="15">
        <v>4.0</v>
      </c>
      <c r="H29" s="14"/>
    </row>
    <row r="30" ht="15.75" customHeight="1">
      <c r="A30" s="8" t="str">
        <f t="shared" si="1"/>
        <v>ENT-0008</v>
      </c>
      <c r="B30" s="9">
        <v>46279.0</v>
      </c>
      <c r="C30" s="10" t="s">
        <v>463</v>
      </c>
      <c r="D30" s="12" t="str">
        <f t="array" ref="D30">IF(C30="","",IFERROR(INDEX(PRODUCTORES!$B:$B, MATCH(C30, PRODUCTORES!$F:$F, 0)) &amp; " " &amp; INDEX(PRODUCTORES!$C:$C, MATCH(C30, PRODUCTORES!$F:$F, 0)), IFERROR(INDEX(PRODUCTORES!$B:$B, MATCH(C30, PRODUCTORES!$A:$A, 0)) &amp; " " &amp; INDEX(PRODUCTORES!$C:$C, MATCH(C30, PRODUCTORES!$A:$A, 0)), IFERROR(TRIM(MID(C30, SEARCH(" - ", C30) + 3, 100)), "NO ENCONTRADO"))))</f>
        <v>CHANQUE RODOLFO</v>
      </c>
      <c r="E30" s="13" t="str">
        <f t="array" ref="E30">IF(C30="","",IFERROR(INDEX(PRODUCTORES!$D:$D, MATCH(C30, PRODUCTORES!$F:$F, 0)), IFERROR(INDEX(PRODUCTORES!$D:$D, MATCH(IF(ISNUMBER(SEARCH(" - ", C30)), LEFT(C30, SEARCH(" - ", C30) - 1), C30), PRODUCTORES!$A:$A, 0)), "-")))</f>
        <v>Sí</v>
      </c>
      <c r="F30" s="14" t="s">
        <v>50</v>
      </c>
      <c r="G30" s="15">
        <v>2.0</v>
      </c>
      <c r="H30" s="14"/>
    </row>
    <row r="31" ht="15.75" customHeight="1">
      <c r="A31" s="8" t="str">
        <f t="shared" si="1"/>
        <v>ENT-0008</v>
      </c>
      <c r="B31" s="9">
        <v>46279.0</v>
      </c>
      <c r="C31" s="10" t="s">
        <v>463</v>
      </c>
      <c r="D31" s="12" t="str">
        <f t="array" ref="D31">IF(C31="","",IFERROR(INDEX(PRODUCTORES!$B:$B, MATCH(C31, PRODUCTORES!$F:$F, 0)) &amp; " " &amp; INDEX(PRODUCTORES!$C:$C, MATCH(C31, PRODUCTORES!$F:$F, 0)), IFERROR(INDEX(PRODUCTORES!$B:$B, MATCH(C31, PRODUCTORES!$A:$A, 0)) &amp; " " &amp; INDEX(PRODUCTORES!$C:$C, MATCH(C31, PRODUCTORES!$A:$A, 0)), IFERROR(TRIM(MID(C31, SEARCH(" - ", C31) + 3, 100)), "NO ENCONTRADO"))))</f>
        <v>CHANQUE RODOLFO</v>
      </c>
      <c r="E31" s="13" t="str">
        <f t="array" ref="E31">IF(C31="","",IFERROR(INDEX(PRODUCTORES!$D:$D, MATCH(C31, PRODUCTORES!$F:$F, 0)), IFERROR(INDEX(PRODUCTORES!$D:$D, MATCH(IF(ISNUMBER(SEARCH(" - ", C31)), LEFT(C31, SEARCH(" - ", C31) - 1), C31), PRODUCTORES!$A:$A, 0)), "-")))</f>
        <v>Sí</v>
      </c>
      <c r="F31" s="14" t="s">
        <v>81</v>
      </c>
      <c r="G31" s="15">
        <v>2.0</v>
      </c>
      <c r="H31" s="16"/>
    </row>
    <row r="32" ht="15.75" customHeight="1">
      <c r="A32" s="8" t="str">
        <f t="shared" si="1"/>
        <v>ENT-0008</v>
      </c>
      <c r="B32" s="9">
        <v>46279.0</v>
      </c>
      <c r="C32" s="10" t="s">
        <v>463</v>
      </c>
      <c r="D32" s="12" t="str">
        <f t="array" ref="D32">IF(C32="","",IFERROR(INDEX(PRODUCTORES!$B:$B, MATCH(C32, PRODUCTORES!$F:$F, 0)) &amp; " " &amp; INDEX(PRODUCTORES!$C:$C, MATCH(C32, PRODUCTORES!$F:$F, 0)), IFERROR(INDEX(PRODUCTORES!$B:$B, MATCH(C32, PRODUCTORES!$A:$A, 0)) &amp; " " &amp; INDEX(PRODUCTORES!$C:$C, MATCH(C32, PRODUCTORES!$A:$A, 0)), IFERROR(TRIM(MID(C32, SEARCH(" - ", C32) + 3, 100)), "NO ENCONTRADO"))))</f>
        <v>CHANQUE RODOLFO</v>
      </c>
      <c r="E32" s="13" t="str">
        <f t="array" ref="E32">IF(C32="","",IFERROR(INDEX(PRODUCTORES!$D:$D, MATCH(C32, PRODUCTORES!$F:$F, 0)), IFERROR(INDEX(PRODUCTORES!$D:$D, MATCH(IF(ISNUMBER(SEARCH(" - ", C32)), LEFT(C32, SEARCH(" - ", C32) - 1), C32), PRODUCTORES!$A:$A, 0)), "-")))</f>
        <v>Sí</v>
      </c>
      <c r="F32" s="14" t="s">
        <v>11</v>
      </c>
      <c r="G32" s="15">
        <v>2.0</v>
      </c>
      <c r="H32" s="14"/>
    </row>
    <row r="33" ht="15.75" customHeight="1">
      <c r="A33" s="8" t="str">
        <f t="shared" si="1"/>
        <v>ENT-0008</v>
      </c>
      <c r="B33" s="9">
        <v>46279.0</v>
      </c>
      <c r="C33" s="10" t="s">
        <v>463</v>
      </c>
      <c r="D33" s="12" t="str">
        <f t="array" ref="D33">IF(C33="","",IFERROR(INDEX(PRODUCTORES!$B:$B, MATCH(C33, PRODUCTORES!$F:$F, 0)) &amp; " " &amp; INDEX(PRODUCTORES!$C:$C, MATCH(C33, PRODUCTORES!$F:$F, 0)), IFERROR(INDEX(PRODUCTORES!$B:$B, MATCH(C33, PRODUCTORES!$A:$A, 0)) &amp; " " &amp; INDEX(PRODUCTORES!$C:$C, MATCH(C33, PRODUCTORES!$A:$A, 0)), IFERROR(TRIM(MID(C33, SEARCH(" - ", C33) + 3, 100)), "NO ENCONTRADO"))))</f>
        <v>CHANQUE RODOLFO</v>
      </c>
      <c r="E33" s="13" t="str">
        <f t="array" ref="E33">IF(C33="","",IFERROR(INDEX(PRODUCTORES!$D:$D, MATCH(C33, PRODUCTORES!$F:$F, 0)), IFERROR(INDEX(PRODUCTORES!$D:$D, MATCH(IF(ISNUMBER(SEARCH(" - ", C33)), LEFT(C33, SEARCH(" - ", C33) - 1), C33), PRODUCTORES!$A:$A, 0)), "-")))</f>
        <v>Sí</v>
      </c>
      <c r="F33" s="14" t="s">
        <v>70</v>
      </c>
      <c r="G33" s="15">
        <v>2.0</v>
      </c>
      <c r="H33" s="14"/>
    </row>
    <row r="34" ht="15.75" customHeight="1">
      <c r="A34" s="8" t="str">
        <f t="shared" si="1"/>
        <v>ENT-0009</v>
      </c>
      <c r="B34" s="9">
        <v>46279.0</v>
      </c>
      <c r="C34" s="10" t="s">
        <v>518</v>
      </c>
      <c r="D34" s="12" t="str">
        <f t="array" ref="D34">IF(C34="","",IFERROR(INDEX(PRODUCTORES!$B:$B, MATCH(C34, PRODUCTORES!$F:$F, 0)) &amp; " " &amp; INDEX(PRODUCTORES!$C:$C, MATCH(C34, PRODUCTORES!$F:$F, 0)), IFERROR(INDEX(PRODUCTORES!$B:$B, MATCH(C34, PRODUCTORES!$A:$A, 0)) &amp; " " &amp; INDEX(PRODUCTORES!$C:$C, MATCH(C34, PRODUCTORES!$A:$A, 0)), IFERROR(TRIM(MID(C34, SEARCH(" - ", C34) + 3, 100)), "NO ENCONTRADO"))))</f>
        <v>DIAZ CUEVAS RENE DAVID</v>
      </c>
      <c r="E34" s="13" t="str">
        <f t="array" ref="E34">IF(C34="","",IFERROR(INDEX(PRODUCTORES!$D:$D, MATCH(C34, PRODUCTORES!$F:$F, 0)), IFERROR(INDEX(PRODUCTORES!$D:$D, MATCH(IF(ISNUMBER(SEARCH(" - ", C34)), LEFT(C34, SEARCH(" - ", C34) - 1), C34), PRODUCTORES!$A:$A, 0)), "-")))</f>
        <v>Sí</v>
      </c>
      <c r="F34" s="14" t="s">
        <v>58</v>
      </c>
      <c r="G34" s="15">
        <v>1.0</v>
      </c>
      <c r="H34" s="14"/>
    </row>
    <row r="35" ht="15.75" customHeight="1">
      <c r="A35" s="8" t="str">
        <f t="shared" si="1"/>
        <v>ENT-0009</v>
      </c>
      <c r="B35" s="9">
        <v>46279.0</v>
      </c>
      <c r="C35" s="10" t="s">
        <v>518</v>
      </c>
      <c r="D35" s="12" t="str">
        <f t="array" ref="D35">IF(C35="","",IFERROR(INDEX(PRODUCTORES!$B:$B, MATCH(C35, PRODUCTORES!$F:$F, 0)) &amp; " " &amp; INDEX(PRODUCTORES!$C:$C, MATCH(C35, PRODUCTORES!$F:$F, 0)), IFERROR(INDEX(PRODUCTORES!$B:$B, MATCH(C35, PRODUCTORES!$A:$A, 0)) &amp; " " &amp; INDEX(PRODUCTORES!$C:$C, MATCH(C35, PRODUCTORES!$A:$A, 0)), IFERROR(TRIM(MID(C35, SEARCH(" - ", C35) + 3, 100)), "NO ENCONTRADO"))))</f>
        <v>DIAZ CUEVAS RENE DAVID</v>
      </c>
      <c r="E35" s="13" t="str">
        <f t="array" ref="E35">IF(C35="","",IFERROR(INDEX(PRODUCTORES!$D:$D, MATCH(C35, PRODUCTORES!$F:$F, 0)), IFERROR(INDEX(PRODUCTORES!$D:$D, MATCH(IF(ISNUMBER(SEARCH(" - ", C35)), LEFT(C35, SEARCH(" - ", C35) - 1), C35), PRODUCTORES!$A:$A, 0)), "-")))</f>
        <v>Sí</v>
      </c>
      <c r="F35" s="14" t="s">
        <v>11</v>
      </c>
      <c r="G35" s="15">
        <v>1.0</v>
      </c>
      <c r="H35" s="14"/>
    </row>
    <row r="36" ht="15.75" customHeight="1">
      <c r="A36" s="8" t="str">
        <f t="shared" si="1"/>
        <v>ENT-0009</v>
      </c>
      <c r="B36" s="9">
        <v>46279.0</v>
      </c>
      <c r="C36" s="10" t="s">
        <v>518</v>
      </c>
      <c r="D36" s="12" t="str">
        <f t="array" ref="D36">IF(C36="","",IFERROR(INDEX(PRODUCTORES!$B:$B, MATCH(C36, PRODUCTORES!$F:$F, 0)) &amp; " " &amp; INDEX(PRODUCTORES!$C:$C, MATCH(C36, PRODUCTORES!$F:$F, 0)), IFERROR(INDEX(PRODUCTORES!$B:$B, MATCH(C36, PRODUCTORES!$A:$A, 0)) &amp; " " &amp; INDEX(PRODUCTORES!$C:$C, MATCH(C36, PRODUCTORES!$A:$A, 0)), IFERROR(TRIM(MID(C36, SEARCH(" - ", C36) + 3, 100)), "NO ENCONTRADO"))))</f>
        <v>DIAZ CUEVAS RENE DAVID</v>
      </c>
      <c r="E36" s="13" t="str">
        <f t="array" ref="E36">IF(C36="","",IFERROR(INDEX(PRODUCTORES!$D:$D, MATCH(C36, PRODUCTORES!$F:$F, 0)), IFERROR(INDEX(PRODUCTORES!$D:$D, MATCH(IF(ISNUMBER(SEARCH(" - ", C36)), LEFT(C36, SEARCH(" - ", C36) - 1), C36), PRODUCTORES!$A:$A, 0)), "-")))</f>
        <v>Sí</v>
      </c>
      <c r="F36" s="14" t="s">
        <v>81</v>
      </c>
      <c r="G36" s="15">
        <v>1.0</v>
      </c>
      <c r="H36" s="14"/>
    </row>
    <row r="37" ht="15.75" customHeight="1">
      <c r="A37" s="8" t="str">
        <f t="shared" si="1"/>
        <v>ENT-0009</v>
      </c>
      <c r="B37" s="9">
        <v>46279.0</v>
      </c>
      <c r="C37" s="10" t="s">
        <v>518</v>
      </c>
      <c r="D37" s="12" t="str">
        <f t="array" ref="D37">IF(C37="","",IFERROR(INDEX(PRODUCTORES!$B:$B, MATCH(C37, PRODUCTORES!$F:$F, 0)) &amp; " " &amp; INDEX(PRODUCTORES!$C:$C, MATCH(C37, PRODUCTORES!$F:$F, 0)), IFERROR(INDEX(PRODUCTORES!$B:$B, MATCH(C37, PRODUCTORES!$A:$A, 0)) &amp; " " &amp; INDEX(PRODUCTORES!$C:$C, MATCH(C37, PRODUCTORES!$A:$A, 0)), IFERROR(TRIM(MID(C37, SEARCH(" - ", C37) + 3, 100)), "NO ENCONTRADO"))))</f>
        <v>DIAZ CUEVAS RENE DAVID</v>
      </c>
      <c r="E37" s="13" t="str">
        <f t="array" ref="E37">IF(C37="","",IFERROR(INDEX(PRODUCTORES!$D:$D, MATCH(C37, PRODUCTORES!$F:$F, 0)), IFERROR(INDEX(PRODUCTORES!$D:$D, MATCH(IF(ISNUMBER(SEARCH(" - ", C37)), LEFT(C37, SEARCH(" - ", C37) - 1), C37), PRODUCTORES!$A:$A, 0)), "-")))</f>
        <v>Sí</v>
      </c>
      <c r="F37" s="14" t="s">
        <v>70</v>
      </c>
      <c r="G37" s="15">
        <v>1.0</v>
      </c>
      <c r="H37" s="16"/>
    </row>
    <row r="38" ht="15.75" customHeight="1">
      <c r="A38" s="8" t="str">
        <f t="shared" si="1"/>
        <v>ENT-0010</v>
      </c>
      <c r="B38" s="9">
        <v>46279.0</v>
      </c>
      <c r="C38" s="10" t="s">
        <v>604</v>
      </c>
      <c r="D38" s="12" t="str">
        <f t="array" ref="D38">IF(C38="","",IFERROR(INDEX(PRODUCTORES!$B:$B, MATCH(C38, PRODUCTORES!$F:$F, 0)) &amp; " " &amp; INDEX(PRODUCTORES!$C:$C, MATCH(C38, PRODUCTORES!$F:$F, 0)), IFERROR(INDEX(PRODUCTORES!$B:$B, MATCH(C38, PRODUCTORES!$A:$A, 0)) &amp; " " &amp; INDEX(PRODUCTORES!$C:$C, MATCH(C38, PRODUCTORES!$A:$A, 0)), IFERROR(TRIM(MID(C38, SEARCH(" - ", C38) + 3, 100)), "NO ENCONTRADO"))))</f>
        <v>FRUTOS OCTAVIO JAVIER</v>
      </c>
      <c r="E38" s="13" t="str">
        <f t="array" ref="E38">IF(C38="","",IFERROR(INDEX(PRODUCTORES!$D:$D, MATCH(C38, PRODUCTORES!$F:$F, 0)), IFERROR(INDEX(PRODUCTORES!$D:$D, MATCH(IF(ISNUMBER(SEARCH(" - ", C38)), LEFT(C38, SEARCH(" - ", C38) - 1), C38), PRODUCTORES!$A:$A, 0)), "-")))</f>
        <v>Sí</v>
      </c>
      <c r="F38" s="14" t="s">
        <v>58</v>
      </c>
      <c r="G38" s="15">
        <v>2.0</v>
      </c>
      <c r="H38" s="14"/>
    </row>
    <row r="39" ht="15.75" customHeight="1">
      <c r="A39" s="8" t="str">
        <f t="shared" si="1"/>
        <v>ENT-0010</v>
      </c>
      <c r="B39" s="9">
        <v>46279.0</v>
      </c>
      <c r="C39" s="10" t="s">
        <v>604</v>
      </c>
      <c r="D39" s="12" t="str">
        <f t="array" ref="D39">IF(C39="","",IFERROR(INDEX(PRODUCTORES!$B:$B, MATCH(C39, PRODUCTORES!$F:$F, 0)) &amp; " " &amp; INDEX(PRODUCTORES!$C:$C, MATCH(C39, PRODUCTORES!$F:$F, 0)), IFERROR(INDEX(PRODUCTORES!$B:$B, MATCH(C39, PRODUCTORES!$A:$A, 0)) &amp; " " &amp; INDEX(PRODUCTORES!$C:$C, MATCH(C39, PRODUCTORES!$A:$A, 0)), IFERROR(TRIM(MID(C39, SEARCH(" - ", C39) + 3, 100)), "NO ENCONTRADO"))))</f>
        <v>FRUTOS OCTAVIO JAVIER</v>
      </c>
      <c r="E39" s="13" t="str">
        <f t="array" ref="E39">IF(C39="","",IFERROR(INDEX(PRODUCTORES!$D:$D, MATCH(C39, PRODUCTORES!$F:$F, 0)), IFERROR(INDEX(PRODUCTORES!$D:$D, MATCH(IF(ISNUMBER(SEARCH(" - ", C39)), LEFT(C39, SEARCH(" - ", C39) - 1), C39), PRODUCTORES!$A:$A, 0)), "-")))</f>
        <v>Sí</v>
      </c>
      <c r="F39" s="14" t="s">
        <v>78</v>
      </c>
      <c r="G39" s="15">
        <v>1.0</v>
      </c>
      <c r="H39" s="14"/>
    </row>
    <row r="40" ht="15.75" customHeight="1">
      <c r="A40" s="8" t="str">
        <f t="shared" si="1"/>
        <v>ENT-0010</v>
      </c>
      <c r="B40" s="9">
        <v>46279.0</v>
      </c>
      <c r="C40" s="10" t="s">
        <v>604</v>
      </c>
      <c r="D40" s="12" t="str">
        <f t="array" ref="D40">IF(C40="","",IFERROR(INDEX(PRODUCTORES!$B:$B, MATCH(C40, PRODUCTORES!$F:$F, 0)) &amp; " " &amp; INDEX(PRODUCTORES!$C:$C, MATCH(C40, PRODUCTORES!$F:$F, 0)), IFERROR(INDEX(PRODUCTORES!$B:$B, MATCH(C40, PRODUCTORES!$A:$A, 0)) &amp; " " &amp; INDEX(PRODUCTORES!$C:$C, MATCH(C40, PRODUCTORES!$A:$A, 0)), IFERROR(TRIM(MID(C40, SEARCH(" - ", C40) + 3, 100)), "NO ENCONTRADO"))))</f>
        <v>FRUTOS OCTAVIO JAVIER</v>
      </c>
      <c r="E40" s="13" t="str">
        <f t="array" ref="E40">IF(C40="","",IFERROR(INDEX(PRODUCTORES!$D:$D, MATCH(C40, PRODUCTORES!$F:$F, 0)), IFERROR(INDEX(PRODUCTORES!$D:$D, MATCH(IF(ISNUMBER(SEARCH(" - ", C40)), LEFT(C40, SEARCH(" - ", C40) - 1), C40), PRODUCTORES!$A:$A, 0)), "-")))</f>
        <v>Sí</v>
      </c>
      <c r="F40" s="14" t="s">
        <v>81</v>
      </c>
      <c r="G40" s="15">
        <v>1.0</v>
      </c>
      <c r="H40" s="14"/>
    </row>
    <row r="41" ht="15.75" customHeight="1">
      <c r="A41" s="8" t="str">
        <f t="shared" si="1"/>
        <v>ENT-0011</v>
      </c>
      <c r="B41" s="9">
        <v>46279.0</v>
      </c>
      <c r="C41" s="10" t="s">
        <v>650</v>
      </c>
      <c r="D41" s="12" t="str">
        <f t="array" ref="D41">IF(C41="","",IFERROR(INDEX(PRODUCTORES!$B:$B, MATCH(C41, PRODUCTORES!$F:$F, 0)) &amp; " " &amp; INDEX(PRODUCTORES!$C:$C, MATCH(C41, PRODUCTORES!$F:$F, 0)), IFERROR(INDEX(PRODUCTORES!$B:$B, MATCH(C41, PRODUCTORES!$A:$A, 0)) &amp; " " &amp; INDEX(PRODUCTORES!$C:$C, MATCH(C41, PRODUCTORES!$A:$A, 0)), IFERROR(TRIM(MID(C41, SEARCH(" - ", C41) + 3, 100)), "NO ENCONTRADO"))))</f>
        <v>GIULIANI ISAIAS DANTE ISMAEL</v>
      </c>
      <c r="E41" s="13" t="str">
        <f t="array" ref="E41">IF(C41="","",IFERROR(INDEX(PRODUCTORES!$D:$D, MATCH(C41, PRODUCTORES!$F:$F, 0)), IFERROR(INDEX(PRODUCTORES!$D:$D, MATCH(IF(ISNUMBER(SEARCH(" - ", C41)), LEFT(C41, SEARCH(" - ", C41) - 1), C41), PRODUCTORES!$A:$A, 0)), "-")))</f>
        <v>Sí</v>
      </c>
      <c r="F41" s="14" t="s">
        <v>58</v>
      </c>
      <c r="G41" s="15">
        <v>18.0</v>
      </c>
      <c r="H41" s="16"/>
    </row>
    <row r="42" ht="15.75" customHeight="1">
      <c r="A42" s="8" t="str">
        <f t="shared" si="1"/>
        <v>ENT-0011</v>
      </c>
      <c r="B42" s="9">
        <v>46279.0</v>
      </c>
      <c r="C42" s="10" t="s">
        <v>650</v>
      </c>
      <c r="D42" s="12" t="str">
        <f t="array" ref="D42">IF(C42="","",IFERROR(INDEX(PRODUCTORES!$B:$B, MATCH(C42, PRODUCTORES!$F:$F, 0)) &amp; " " &amp; INDEX(PRODUCTORES!$C:$C, MATCH(C42, PRODUCTORES!$F:$F, 0)), IFERROR(INDEX(PRODUCTORES!$B:$B, MATCH(C42, PRODUCTORES!$A:$A, 0)) &amp; " " &amp; INDEX(PRODUCTORES!$C:$C, MATCH(C42, PRODUCTORES!$A:$A, 0)), IFERROR(TRIM(MID(C42, SEARCH(" - ", C42) + 3, 100)), "NO ENCONTRADO"))))</f>
        <v>GIULIANI ISAIAS DANTE ISMAEL</v>
      </c>
      <c r="E42" s="13" t="str">
        <f t="array" ref="E42">IF(C42="","",IFERROR(INDEX(PRODUCTORES!$D:$D, MATCH(C42, PRODUCTORES!$F:$F, 0)), IFERROR(INDEX(PRODUCTORES!$D:$D, MATCH(IF(ISNUMBER(SEARCH(" - ", C42)), LEFT(C42, SEARCH(" - ", C42) - 1), C42), PRODUCTORES!$A:$A, 0)), "-")))</f>
        <v>Sí</v>
      </c>
      <c r="F42" s="14" t="s">
        <v>78</v>
      </c>
      <c r="G42" s="15">
        <v>1.0</v>
      </c>
      <c r="H42" s="14"/>
    </row>
    <row r="43" ht="15.75" customHeight="1">
      <c r="A43" s="8" t="str">
        <f t="shared" si="1"/>
        <v>ENT-0011</v>
      </c>
      <c r="B43" s="9">
        <v>46279.0</v>
      </c>
      <c r="C43" s="10" t="s">
        <v>650</v>
      </c>
      <c r="D43" s="12" t="str">
        <f t="array" ref="D43">IF(C43="","",IFERROR(INDEX(PRODUCTORES!$B:$B, MATCH(C43, PRODUCTORES!$F:$F, 0)) &amp; " " &amp; INDEX(PRODUCTORES!$C:$C, MATCH(C43, PRODUCTORES!$F:$F, 0)), IFERROR(INDEX(PRODUCTORES!$B:$B, MATCH(C43, PRODUCTORES!$A:$A, 0)) &amp; " " &amp; INDEX(PRODUCTORES!$C:$C, MATCH(C43, PRODUCTORES!$A:$A, 0)), IFERROR(TRIM(MID(C43, SEARCH(" - ", C43) + 3, 100)), "NO ENCONTRADO"))))</f>
        <v>GIULIANI ISAIAS DANTE ISMAEL</v>
      </c>
      <c r="E43" s="13" t="str">
        <f t="array" ref="E43">IF(C43="","",IFERROR(INDEX(PRODUCTORES!$D:$D, MATCH(C43, PRODUCTORES!$F:$F, 0)), IFERROR(INDEX(PRODUCTORES!$D:$D, MATCH(IF(ISNUMBER(SEARCH(" - ", C43)), LEFT(C43, SEARCH(" - ", C43) - 1), C43), PRODUCTORES!$A:$A, 0)), "-")))</f>
        <v>Sí</v>
      </c>
      <c r="F43" s="14" t="s">
        <v>11</v>
      </c>
      <c r="G43" s="15">
        <v>8.0</v>
      </c>
      <c r="H43" s="16"/>
    </row>
    <row r="44" ht="15.75" customHeight="1">
      <c r="A44" s="8" t="str">
        <f t="shared" si="1"/>
        <v>ENT-0011</v>
      </c>
      <c r="B44" s="9">
        <v>46279.0</v>
      </c>
      <c r="C44" s="10" t="s">
        <v>650</v>
      </c>
      <c r="D44" s="12" t="str">
        <f t="array" ref="D44">IF(C44="","",IFERROR(INDEX(PRODUCTORES!$B:$B, MATCH(C44, PRODUCTORES!$F:$F, 0)) &amp; " " &amp; INDEX(PRODUCTORES!$C:$C, MATCH(C44, PRODUCTORES!$F:$F, 0)), IFERROR(INDEX(PRODUCTORES!$B:$B, MATCH(C44, PRODUCTORES!$A:$A, 0)) &amp; " " &amp; INDEX(PRODUCTORES!$C:$C, MATCH(C44, PRODUCTORES!$A:$A, 0)), IFERROR(TRIM(MID(C44, SEARCH(" - ", C44) + 3, 100)), "NO ENCONTRADO"))))</f>
        <v>GIULIANI ISAIAS DANTE ISMAEL</v>
      </c>
      <c r="E44" s="13" t="str">
        <f t="array" ref="E44">IF(C44="","",IFERROR(INDEX(PRODUCTORES!$D:$D, MATCH(C44, PRODUCTORES!$F:$F, 0)), IFERROR(INDEX(PRODUCTORES!$D:$D, MATCH(IF(ISNUMBER(SEARCH(" - ", C44)), LEFT(C44, SEARCH(" - ", C44) - 1), C44), PRODUCTORES!$A:$A, 0)), "-")))</f>
        <v>Sí</v>
      </c>
      <c r="F44" s="14" t="s">
        <v>81</v>
      </c>
      <c r="G44" s="15">
        <v>3.0</v>
      </c>
      <c r="H44" s="14"/>
    </row>
    <row r="45" ht="15.75" customHeight="1">
      <c r="A45" s="8" t="str">
        <f t="shared" si="1"/>
        <v>ENT-0011</v>
      </c>
      <c r="B45" s="9">
        <v>46279.0</v>
      </c>
      <c r="C45" s="10" t="s">
        <v>650</v>
      </c>
      <c r="D45" s="12" t="str">
        <f t="array" ref="D45">IF(C45="","",IFERROR(INDEX(PRODUCTORES!$B:$B, MATCH(C45, PRODUCTORES!$F:$F, 0)) &amp; " " &amp; INDEX(PRODUCTORES!$C:$C, MATCH(C45, PRODUCTORES!$F:$F, 0)), IFERROR(INDEX(PRODUCTORES!$B:$B, MATCH(C45, PRODUCTORES!$A:$A, 0)) &amp; " " &amp; INDEX(PRODUCTORES!$C:$C, MATCH(C45, PRODUCTORES!$A:$A, 0)), IFERROR(TRIM(MID(C45, SEARCH(" - ", C45) + 3, 100)), "NO ENCONTRADO"))))</f>
        <v>GIULIANI ISAIAS DANTE ISMAEL</v>
      </c>
      <c r="E45" s="13" t="str">
        <f t="array" ref="E45">IF(C45="","",IFERROR(INDEX(PRODUCTORES!$D:$D, MATCH(C45, PRODUCTORES!$F:$F, 0)), IFERROR(INDEX(PRODUCTORES!$D:$D, MATCH(IF(ISNUMBER(SEARCH(" - ", C45)), LEFT(C45, SEARCH(" - ", C45) - 1), C45), PRODUCTORES!$A:$A, 0)), "-")))</f>
        <v>Sí</v>
      </c>
      <c r="F45" s="14" t="s">
        <v>70</v>
      </c>
      <c r="G45" s="15">
        <v>3.0</v>
      </c>
      <c r="H45" s="14"/>
    </row>
    <row r="46" ht="15.75" customHeight="1">
      <c r="A46" s="8" t="str">
        <f t="shared" si="1"/>
        <v>ENT-0012</v>
      </c>
      <c r="B46" s="9">
        <v>46279.0</v>
      </c>
      <c r="C46" s="10" t="s">
        <v>134</v>
      </c>
      <c r="D46" s="12" t="str">
        <f t="array" ref="D46">IF(C46="","",IFERROR(INDEX(PRODUCTORES!$B:$B, MATCH(C46, PRODUCTORES!$F:$F, 0)) &amp; " " &amp; INDEX(PRODUCTORES!$C:$C, MATCH(C46, PRODUCTORES!$F:$F, 0)), IFERROR(INDEX(PRODUCTORES!$B:$B, MATCH(C46, PRODUCTORES!$A:$A, 0)) &amp; " " &amp; INDEX(PRODUCTORES!$C:$C, MATCH(C46, PRODUCTORES!$A:$A, 0)), IFERROR(TRIM(MID(C46, SEARCH(" - ", C46) + 3, 100)), "NO ENCONTRADO"))))</f>
        <v>ALBA HERNANDEZ NORMA EDITH</v>
      </c>
      <c r="E46" s="13" t="str">
        <f t="array" ref="E46">IF(C46="","",IFERROR(INDEX(PRODUCTORES!$D:$D, MATCH(C46, PRODUCTORES!$F:$F, 0)), IFERROR(INDEX(PRODUCTORES!$D:$D, MATCH(IF(ISNUMBER(SEARCH(" - ", C46)), LEFT(C46, SEARCH(" - ", C46) - 1), C46), PRODUCTORES!$A:$A, 0)), "-")))</f>
        <v>Sí</v>
      </c>
      <c r="F46" s="14" t="s">
        <v>58</v>
      </c>
      <c r="G46" s="15">
        <v>2.0</v>
      </c>
      <c r="H46" s="14"/>
    </row>
    <row r="47" ht="15.75" customHeight="1">
      <c r="A47" s="8" t="str">
        <f t="shared" si="1"/>
        <v>ENT-0012</v>
      </c>
      <c r="B47" s="9">
        <v>46279.0</v>
      </c>
      <c r="C47" s="10" t="s">
        <v>134</v>
      </c>
      <c r="D47" s="12" t="str">
        <f t="array" ref="D47">IF(C47="","",IFERROR(INDEX(PRODUCTORES!$B:$B, MATCH(C47, PRODUCTORES!$F:$F, 0)) &amp; " " &amp; INDEX(PRODUCTORES!$C:$C, MATCH(C47, PRODUCTORES!$F:$F, 0)), IFERROR(INDEX(PRODUCTORES!$B:$B, MATCH(C47, PRODUCTORES!$A:$A, 0)) &amp; " " &amp; INDEX(PRODUCTORES!$C:$C, MATCH(C47, PRODUCTORES!$A:$A, 0)), IFERROR(TRIM(MID(C47, SEARCH(" - ", C47) + 3, 100)), "NO ENCONTRADO"))))</f>
        <v>ALBA HERNANDEZ NORMA EDITH</v>
      </c>
      <c r="E47" s="13" t="str">
        <f t="array" ref="E47">IF(C47="","",IFERROR(INDEX(PRODUCTORES!$D:$D, MATCH(C47, PRODUCTORES!$F:$F, 0)), IFERROR(INDEX(PRODUCTORES!$D:$D, MATCH(IF(ISNUMBER(SEARCH(" - ", C47)), LEFT(C47, SEARCH(" - ", C47) - 1), C47), PRODUCTORES!$A:$A, 0)), "-")))</f>
        <v>Sí</v>
      </c>
      <c r="F47" s="14" t="s">
        <v>70</v>
      </c>
      <c r="G47" s="15">
        <v>1.0</v>
      </c>
      <c r="H47" s="14"/>
    </row>
    <row r="48" ht="15.75" customHeight="1">
      <c r="A48" s="8" t="str">
        <f t="shared" si="1"/>
        <v>ENT-0012</v>
      </c>
      <c r="B48" s="9">
        <v>46279.0</v>
      </c>
      <c r="C48" s="10" t="s">
        <v>134</v>
      </c>
      <c r="D48" s="12" t="str">
        <f t="array" ref="D48">IF(C48="","",IFERROR(INDEX(PRODUCTORES!$B:$B, MATCH(C48, PRODUCTORES!$F:$F, 0)) &amp; " " &amp; INDEX(PRODUCTORES!$C:$C, MATCH(C48, PRODUCTORES!$F:$F, 0)), IFERROR(INDEX(PRODUCTORES!$B:$B, MATCH(C48, PRODUCTORES!$A:$A, 0)) &amp; " " &amp; INDEX(PRODUCTORES!$C:$C, MATCH(C48, PRODUCTORES!$A:$A, 0)), IFERROR(TRIM(MID(C48, SEARCH(" - ", C48) + 3, 100)), "NO ENCONTRADO"))))</f>
        <v>ALBA HERNANDEZ NORMA EDITH</v>
      </c>
      <c r="E48" s="13" t="str">
        <f t="array" ref="E48">IF(C48="","",IFERROR(INDEX(PRODUCTORES!$D:$D, MATCH(C48, PRODUCTORES!$F:$F, 0)), IFERROR(INDEX(PRODUCTORES!$D:$D, MATCH(IF(ISNUMBER(SEARCH(" - ", C48)), LEFT(C48, SEARCH(" - ", C48) - 1), C48), PRODUCTORES!$A:$A, 0)), "-")))</f>
        <v>Sí</v>
      </c>
      <c r="F48" s="14" t="s">
        <v>50</v>
      </c>
      <c r="G48" s="15">
        <v>1.0</v>
      </c>
      <c r="H48" s="14"/>
    </row>
    <row r="49" ht="15.75" customHeight="1">
      <c r="A49" s="8" t="str">
        <f t="shared" si="1"/>
        <v>ENT-0012</v>
      </c>
      <c r="B49" s="9">
        <v>46279.0</v>
      </c>
      <c r="C49" s="10" t="s">
        <v>134</v>
      </c>
      <c r="D49" s="12" t="str">
        <f t="array" ref="D49">IF(C49="","",IFERROR(INDEX(PRODUCTORES!$B:$B, MATCH(C49, PRODUCTORES!$F:$F, 0)) &amp; " " &amp; INDEX(PRODUCTORES!$C:$C, MATCH(C49, PRODUCTORES!$F:$F, 0)), IFERROR(INDEX(PRODUCTORES!$B:$B, MATCH(C49, PRODUCTORES!$A:$A, 0)) &amp; " " &amp; INDEX(PRODUCTORES!$C:$C, MATCH(C49, PRODUCTORES!$A:$A, 0)), IFERROR(TRIM(MID(C49, SEARCH(" - ", C49) + 3, 100)), "NO ENCONTRADO"))))</f>
        <v>ALBA HERNANDEZ NORMA EDITH</v>
      </c>
      <c r="E49" s="13" t="str">
        <f t="array" ref="E49">IF(C49="","",IFERROR(INDEX(PRODUCTORES!$D:$D, MATCH(C49, PRODUCTORES!$F:$F, 0)), IFERROR(INDEX(PRODUCTORES!$D:$D, MATCH(IF(ISNUMBER(SEARCH(" - ", C49)), LEFT(C49, SEARCH(" - ", C49) - 1), C49), PRODUCTORES!$A:$A, 0)), "-")))</f>
        <v>Sí</v>
      </c>
      <c r="F49" s="14" t="s">
        <v>56</v>
      </c>
      <c r="G49" s="15">
        <v>1.0</v>
      </c>
      <c r="H49" s="14"/>
    </row>
    <row r="50" ht="15.75" customHeight="1">
      <c r="A50" s="8" t="str">
        <f t="shared" si="1"/>
        <v>ENT-0012</v>
      </c>
      <c r="B50" s="9">
        <v>46279.0</v>
      </c>
      <c r="C50" s="10" t="s">
        <v>134</v>
      </c>
      <c r="D50" s="12" t="str">
        <f t="array" ref="D50">IF(C50="","",IFERROR(INDEX(PRODUCTORES!$B:$B, MATCH(C50, PRODUCTORES!$F:$F, 0)) &amp; " " &amp; INDEX(PRODUCTORES!$C:$C, MATCH(C50, PRODUCTORES!$F:$F, 0)), IFERROR(INDEX(PRODUCTORES!$B:$B, MATCH(C50, PRODUCTORES!$A:$A, 0)) &amp; " " &amp; INDEX(PRODUCTORES!$C:$C, MATCH(C50, PRODUCTORES!$A:$A, 0)), IFERROR(TRIM(MID(C50, SEARCH(" - ", C50) + 3, 100)), "NO ENCONTRADO"))))</f>
        <v>ALBA HERNANDEZ NORMA EDITH</v>
      </c>
      <c r="E50" s="13" t="str">
        <f t="array" ref="E50">IF(C50="","",IFERROR(INDEX(PRODUCTORES!$D:$D, MATCH(C50, PRODUCTORES!$F:$F, 0)), IFERROR(INDEX(PRODUCTORES!$D:$D, MATCH(IF(ISNUMBER(SEARCH(" - ", C50)), LEFT(C50, SEARCH(" - ", C50) - 1), C50), PRODUCTORES!$A:$A, 0)), "-")))</f>
        <v>Sí</v>
      </c>
      <c r="F50" s="14" t="s">
        <v>11</v>
      </c>
      <c r="G50" s="15">
        <v>1.0</v>
      </c>
      <c r="H50" s="14"/>
    </row>
    <row r="51" ht="15.75" customHeight="1">
      <c r="A51" s="8" t="str">
        <f t="shared" si="1"/>
        <v>ENT-0012</v>
      </c>
      <c r="B51" s="9">
        <v>46279.0</v>
      </c>
      <c r="C51" s="10" t="s">
        <v>134</v>
      </c>
      <c r="D51" s="12" t="str">
        <f t="array" ref="D51">IF(C51="","",IFERROR(INDEX(PRODUCTORES!$B:$B, MATCH(C51, PRODUCTORES!$F:$F, 0)) &amp; " " &amp; INDEX(PRODUCTORES!$C:$C, MATCH(C51, PRODUCTORES!$F:$F, 0)), IFERROR(INDEX(PRODUCTORES!$B:$B, MATCH(C51, PRODUCTORES!$A:$A, 0)) &amp; " " &amp; INDEX(PRODUCTORES!$C:$C, MATCH(C51, PRODUCTORES!$A:$A, 0)), IFERROR(TRIM(MID(C51, SEARCH(" - ", C51) + 3, 100)), "NO ENCONTRADO"))))</f>
        <v>ALBA HERNANDEZ NORMA EDITH</v>
      </c>
      <c r="E51" s="13" t="str">
        <f t="array" ref="E51">IF(C51="","",IFERROR(INDEX(PRODUCTORES!$D:$D, MATCH(C51, PRODUCTORES!$F:$F, 0)), IFERROR(INDEX(PRODUCTORES!$D:$D, MATCH(IF(ISNUMBER(SEARCH(" - ", C51)), LEFT(C51, SEARCH(" - ", C51) - 1), C51), PRODUCTORES!$A:$A, 0)), "-")))</f>
        <v>Sí</v>
      </c>
      <c r="F51" s="14" t="s">
        <v>81</v>
      </c>
      <c r="G51" s="15">
        <v>1.0</v>
      </c>
      <c r="H51" s="16"/>
    </row>
    <row r="52" ht="15.75" customHeight="1">
      <c r="A52" s="8" t="str">
        <f t="shared" si="1"/>
        <v>ENT-0012</v>
      </c>
      <c r="B52" s="9">
        <v>46279.0</v>
      </c>
      <c r="C52" s="10" t="s">
        <v>134</v>
      </c>
      <c r="D52" s="12" t="str">
        <f t="array" ref="D52">IF(C52="","",IFERROR(INDEX(PRODUCTORES!$B:$B, MATCH(C52, PRODUCTORES!$F:$F, 0)) &amp; " " &amp; INDEX(PRODUCTORES!$C:$C, MATCH(C52, PRODUCTORES!$F:$F, 0)), IFERROR(INDEX(PRODUCTORES!$B:$B, MATCH(C52, PRODUCTORES!$A:$A, 0)) &amp; " " &amp; INDEX(PRODUCTORES!$C:$C, MATCH(C52, PRODUCTORES!$A:$A, 0)), IFERROR(TRIM(MID(C52, SEARCH(" - ", C52) + 3, 100)), "NO ENCONTRADO"))))</f>
        <v>ALBA HERNANDEZ NORMA EDITH</v>
      </c>
      <c r="E52" s="13" t="str">
        <f t="array" ref="E52">IF(C52="","",IFERROR(INDEX(PRODUCTORES!$D:$D, MATCH(C52, PRODUCTORES!$F:$F, 0)), IFERROR(INDEX(PRODUCTORES!$D:$D, MATCH(IF(ISNUMBER(SEARCH(" - ", C52)), LEFT(C52, SEARCH(" - ", C52) - 1), C52), PRODUCTORES!$A:$A, 0)), "-")))</f>
        <v>Sí</v>
      </c>
      <c r="F52" s="14" t="s">
        <v>78</v>
      </c>
      <c r="G52" s="15">
        <v>1.0</v>
      </c>
      <c r="H52" s="14"/>
    </row>
    <row r="53" ht="15.75" customHeight="1">
      <c r="A53" s="8" t="str">
        <f t="shared" si="1"/>
        <v>ENT-0013</v>
      </c>
      <c r="B53" s="9">
        <v>46279.0</v>
      </c>
      <c r="C53" s="10" t="s">
        <v>792</v>
      </c>
      <c r="D53" s="12" t="str">
        <f t="array" ref="D53">IF(C53="","",IFERROR(INDEX(PRODUCTORES!$B:$B, MATCH(C53, PRODUCTORES!$F:$F, 0)) &amp; " " &amp; INDEX(PRODUCTORES!$C:$C, MATCH(C53, PRODUCTORES!$F:$F, 0)), IFERROR(INDEX(PRODUCTORES!$B:$B, MATCH(C53, PRODUCTORES!$A:$A, 0)) &amp; " " &amp; INDEX(PRODUCTORES!$C:$C, MATCH(C53, PRODUCTORES!$A:$A, 0)), IFERROR(TRIM(MID(C53, SEARCH(" - ", C53) + 3, 100)), "NO ENCONTRADO"))))</f>
        <v>IGLESIAS IGLESIAS SERGIO LUIS</v>
      </c>
      <c r="E53" s="13" t="str">
        <f t="array" ref="E53">IF(C53="","",IFERROR(INDEX(PRODUCTORES!$D:$D, MATCH(C53, PRODUCTORES!$F:$F, 0)), IFERROR(INDEX(PRODUCTORES!$D:$D, MATCH(IF(ISNUMBER(SEARCH(" - ", C53)), LEFT(C53, SEARCH(" - ", C53) - 1), C53), PRODUCTORES!$A:$A, 0)), "-")))</f>
        <v>Sí</v>
      </c>
      <c r="F53" s="14" t="s">
        <v>58</v>
      </c>
      <c r="G53" s="15">
        <v>1.0</v>
      </c>
      <c r="H53" s="14"/>
    </row>
    <row r="54" ht="15.75" customHeight="1">
      <c r="A54" s="8" t="str">
        <f t="shared" si="1"/>
        <v>ENT-0013</v>
      </c>
      <c r="B54" s="9">
        <v>46279.0</v>
      </c>
      <c r="C54" s="10" t="s">
        <v>792</v>
      </c>
      <c r="D54" s="12" t="str">
        <f t="array" ref="D54">IF(C54="","",IFERROR(INDEX(PRODUCTORES!$B:$B, MATCH(C54, PRODUCTORES!$F:$F, 0)) &amp; " " &amp; INDEX(PRODUCTORES!$C:$C, MATCH(C54, PRODUCTORES!$F:$F, 0)), IFERROR(INDEX(PRODUCTORES!$B:$B, MATCH(C54, PRODUCTORES!$A:$A, 0)) &amp; " " &amp; INDEX(PRODUCTORES!$C:$C, MATCH(C54, PRODUCTORES!$A:$A, 0)), IFERROR(TRIM(MID(C54, SEARCH(" - ", C54) + 3, 100)), "NO ENCONTRADO"))))</f>
        <v>IGLESIAS IGLESIAS SERGIO LUIS</v>
      </c>
      <c r="E54" s="13" t="str">
        <f t="array" ref="E54">IF(C54="","",IFERROR(INDEX(PRODUCTORES!$D:$D, MATCH(C54, PRODUCTORES!$F:$F, 0)), IFERROR(INDEX(PRODUCTORES!$D:$D, MATCH(IF(ISNUMBER(SEARCH(" - ", C54)), LEFT(C54, SEARCH(" - ", C54) - 1), C54), PRODUCTORES!$A:$A, 0)), "-")))</f>
        <v>Sí</v>
      </c>
      <c r="F54" s="14" t="s">
        <v>11</v>
      </c>
      <c r="G54" s="15">
        <v>1.0</v>
      </c>
      <c r="H54" s="14"/>
    </row>
    <row r="55" ht="15.75" customHeight="1">
      <c r="A55" s="8" t="str">
        <f t="shared" si="1"/>
        <v>ENT-0013</v>
      </c>
      <c r="B55" s="9">
        <v>46279.0</v>
      </c>
      <c r="C55" s="10" t="s">
        <v>792</v>
      </c>
      <c r="D55" s="12" t="str">
        <f t="array" ref="D55">IF(C55="","",IFERROR(INDEX(PRODUCTORES!$B:$B, MATCH(C55, PRODUCTORES!$F:$F, 0)) &amp; " " &amp; INDEX(PRODUCTORES!$C:$C, MATCH(C55, PRODUCTORES!$F:$F, 0)), IFERROR(INDEX(PRODUCTORES!$B:$B, MATCH(C55, PRODUCTORES!$A:$A, 0)) &amp; " " &amp; INDEX(PRODUCTORES!$C:$C, MATCH(C55, PRODUCTORES!$A:$A, 0)), IFERROR(TRIM(MID(C55, SEARCH(" - ", C55) + 3, 100)), "NO ENCONTRADO"))))</f>
        <v>IGLESIAS IGLESIAS SERGIO LUIS</v>
      </c>
      <c r="E55" s="13" t="str">
        <f t="array" ref="E55">IF(C55="","",IFERROR(INDEX(PRODUCTORES!$D:$D, MATCH(C55, PRODUCTORES!$F:$F, 0)), IFERROR(INDEX(PRODUCTORES!$D:$D, MATCH(IF(ISNUMBER(SEARCH(" - ", C55)), LEFT(C55, SEARCH(" - ", C55) - 1), C55), PRODUCTORES!$A:$A, 0)), "-")))</f>
        <v>Sí</v>
      </c>
      <c r="F55" s="14" t="s">
        <v>70</v>
      </c>
      <c r="G55" s="15">
        <v>1.0</v>
      </c>
      <c r="H55" s="14"/>
    </row>
    <row r="56" ht="15.75" customHeight="1">
      <c r="A56" s="8" t="str">
        <f t="shared" si="1"/>
        <v>ENT-0013</v>
      </c>
      <c r="B56" s="9">
        <v>46279.0</v>
      </c>
      <c r="C56" s="10" t="s">
        <v>792</v>
      </c>
      <c r="D56" s="12" t="str">
        <f t="array" ref="D56">IF(C56="","",IFERROR(INDEX(PRODUCTORES!$B:$B, MATCH(C56, PRODUCTORES!$F:$F, 0)) &amp; " " &amp; INDEX(PRODUCTORES!$C:$C, MATCH(C56, PRODUCTORES!$F:$F, 0)), IFERROR(INDEX(PRODUCTORES!$B:$B, MATCH(C56, PRODUCTORES!$A:$A, 0)) &amp; " " &amp; INDEX(PRODUCTORES!$C:$C, MATCH(C56, PRODUCTORES!$A:$A, 0)), IFERROR(TRIM(MID(C56, SEARCH(" - ", C56) + 3, 100)), "NO ENCONTRADO"))))</f>
        <v>IGLESIAS IGLESIAS SERGIO LUIS</v>
      </c>
      <c r="E56" s="13" t="str">
        <f t="array" ref="E56">IF(C56="","",IFERROR(INDEX(PRODUCTORES!$D:$D, MATCH(C56, PRODUCTORES!$F:$F, 0)), IFERROR(INDEX(PRODUCTORES!$D:$D, MATCH(IF(ISNUMBER(SEARCH(" - ", C56)), LEFT(C56, SEARCH(" - ", C56) - 1), C56), PRODUCTORES!$A:$A, 0)), "-")))</f>
        <v>Sí</v>
      </c>
      <c r="F56" s="14" t="s">
        <v>50</v>
      </c>
      <c r="G56" s="15">
        <v>1.0</v>
      </c>
      <c r="H56" s="14"/>
    </row>
    <row r="57" ht="15.75" customHeight="1">
      <c r="A57" s="8" t="str">
        <f t="shared" si="1"/>
        <v>ENT-0014</v>
      </c>
      <c r="B57" s="9">
        <v>46279.0</v>
      </c>
      <c r="C57" s="10" t="s">
        <v>867</v>
      </c>
      <c r="D57" s="12" t="str">
        <f t="array" ref="D57">IF(C57="","",IFERROR(INDEX(PRODUCTORES!$B:$B, MATCH(C57, PRODUCTORES!$F:$F, 0)) &amp; " " &amp; INDEX(PRODUCTORES!$C:$C, MATCH(C57, PRODUCTORES!$F:$F, 0)), IFERROR(INDEX(PRODUCTORES!$B:$B, MATCH(C57, PRODUCTORES!$A:$A, 0)) &amp; " " &amp; INDEX(PRODUCTORES!$C:$C, MATCH(C57, PRODUCTORES!$A:$A, 0)), IFERROR(TRIM(MID(C57, SEARCH(" - ", C57) + 3, 100)), "NO ENCONTRADO"))))</f>
        <v>LEVICOY MAYORGA ALICIA DEL CARMEN</v>
      </c>
      <c r="E57" s="13" t="str">
        <f t="array" ref="E57">IF(C57="","",IFERROR(INDEX(PRODUCTORES!$D:$D, MATCH(C57, PRODUCTORES!$F:$F, 0)), IFERROR(INDEX(PRODUCTORES!$D:$D, MATCH(IF(ISNUMBER(SEARCH(" - ", C57)), LEFT(C57, SEARCH(" - ", C57) - 1), C57), PRODUCTORES!$A:$A, 0)), "-")))</f>
        <v>Sí</v>
      </c>
      <c r="F57" s="14" t="s">
        <v>58</v>
      </c>
      <c r="G57" s="15">
        <v>2.0</v>
      </c>
      <c r="H57" s="14"/>
    </row>
    <row r="58" ht="15.75" customHeight="1">
      <c r="A58" s="8" t="str">
        <f t="shared" si="1"/>
        <v>ENT-0014</v>
      </c>
      <c r="B58" s="9">
        <v>46279.0</v>
      </c>
      <c r="C58" s="10" t="s">
        <v>867</v>
      </c>
      <c r="D58" s="12" t="str">
        <f t="array" ref="D58">IF(C58="","",IFERROR(INDEX(PRODUCTORES!$B:$B, MATCH(C58, PRODUCTORES!$F:$F, 0)) &amp; " " &amp; INDEX(PRODUCTORES!$C:$C, MATCH(C58, PRODUCTORES!$F:$F, 0)), IFERROR(INDEX(PRODUCTORES!$B:$B, MATCH(C58, PRODUCTORES!$A:$A, 0)) &amp; " " &amp; INDEX(PRODUCTORES!$C:$C, MATCH(C58, PRODUCTORES!$A:$A, 0)), IFERROR(TRIM(MID(C58, SEARCH(" - ", C58) + 3, 100)), "NO ENCONTRADO"))))</f>
        <v>LEVICOY MAYORGA ALICIA DEL CARMEN</v>
      </c>
      <c r="E58" s="13" t="str">
        <f t="array" ref="E58">IF(C58="","",IFERROR(INDEX(PRODUCTORES!$D:$D, MATCH(C58, PRODUCTORES!$F:$F, 0)), IFERROR(INDEX(PRODUCTORES!$D:$D, MATCH(IF(ISNUMBER(SEARCH(" - ", C58)), LEFT(C58, SEARCH(" - ", C58) - 1), C58), PRODUCTORES!$A:$A, 0)), "-")))</f>
        <v>Sí</v>
      </c>
      <c r="F58" s="14" t="s">
        <v>11</v>
      </c>
      <c r="G58" s="15">
        <v>1.0</v>
      </c>
      <c r="H58" s="14"/>
    </row>
    <row r="59" ht="15.75" customHeight="1">
      <c r="A59" s="8" t="str">
        <f t="shared" si="1"/>
        <v>ENT-0014</v>
      </c>
      <c r="B59" s="9">
        <v>46279.0</v>
      </c>
      <c r="C59" s="10" t="s">
        <v>867</v>
      </c>
      <c r="D59" s="12" t="str">
        <f t="array" ref="D59">IF(C59="","",IFERROR(INDEX(PRODUCTORES!$B:$B, MATCH(C59, PRODUCTORES!$F:$F, 0)) &amp; " " &amp; INDEX(PRODUCTORES!$C:$C, MATCH(C59, PRODUCTORES!$F:$F, 0)), IFERROR(INDEX(PRODUCTORES!$B:$B, MATCH(C59, PRODUCTORES!$A:$A, 0)) &amp; " " &amp; INDEX(PRODUCTORES!$C:$C, MATCH(C59, PRODUCTORES!$A:$A, 0)), IFERROR(TRIM(MID(C59, SEARCH(" - ", C59) + 3, 100)), "NO ENCONTRADO"))))</f>
        <v>LEVICOY MAYORGA ALICIA DEL CARMEN</v>
      </c>
      <c r="E59" s="13" t="str">
        <f t="array" ref="E59">IF(C59="","",IFERROR(INDEX(PRODUCTORES!$D:$D, MATCH(C59, PRODUCTORES!$F:$F, 0)), IFERROR(INDEX(PRODUCTORES!$D:$D, MATCH(IF(ISNUMBER(SEARCH(" - ", C59)), LEFT(C59, SEARCH(" - ", C59) - 1), C59), PRODUCTORES!$A:$A, 0)), "-")))</f>
        <v>Sí</v>
      </c>
      <c r="F59" s="14" t="s">
        <v>50</v>
      </c>
      <c r="G59" s="15">
        <v>1.0</v>
      </c>
      <c r="H59" s="14"/>
    </row>
    <row r="60" ht="15.75" customHeight="1">
      <c r="A60" s="8" t="str">
        <f t="shared" si="1"/>
        <v>ENT-0014</v>
      </c>
      <c r="B60" s="9">
        <v>46279.0</v>
      </c>
      <c r="C60" s="10" t="s">
        <v>867</v>
      </c>
      <c r="D60" s="12" t="str">
        <f t="array" ref="D60">IF(C60="","",IFERROR(INDEX(PRODUCTORES!$B:$B, MATCH(C60, PRODUCTORES!$F:$F, 0)) &amp; " " &amp; INDEX(PRODUCTORES!$C:$C, MATCH(C60, PRODUCTORES!$F:$F, 0)), IFERROR(INDEX(PRODUCTORES!$B:$B, MATCH(C60, PRODUCTORES!$A:$A, 0)) &amp; " " &amp; INDEX(PRODUCTORES!$C:$C, MATCH(C60, PRODUCTORES!$A:$A, 0)), IFERROR(TRIM(MID(C60, SEARCH(" - ", C60) + 3, 100)), "NO ENCONTRADO"))))</f>
        <v>LEVICOY MAYORGA ALICIA DEL CARMEN</v>
      </c>
      <c r="E60" s="13" t="str">
        <f t="array" ref="E60">IF(C60="","",IFERROR(INDEX(PRODUCTORES!$D:$D, MATCH(C60, PRODUCTORES!$F:$F, 0)), IFERROR(INDEX(PRODUCTORES!$D:$D, MATCH(IF(ISNUMBER(SEARCH(" - ", C60)), LEFT(C60, SEARCH(" - ", C60) - 1), C60), PRODUCTORES!$A:$A, 0)), "-")))</f>
        <v>Sí</v>
      </c>
      <c r="F60" s="14" t="s">
        <v>70</v>
      </c>
      <c r="G60" s="15">
        <v>1.0</v>
      </c>
      <c r="H60" s="14"/>
    </row>
    <row r="61" ht="15.75" customHeight="1">
      <c r="A61" s="8" t="str">
        <f t="shared" si="1"/>
        <v>ENT-0015</v>
      </c>
      <c r="B61" s="9">
        <v>46279.0</v>
      </c>
      <c r="C61" s="10" t="s">
        <v>923</v>
      </c>
      <c r="D61" s="12" t="str">
        <f t="array" ref="D61">IF(C61="","",IFERROR(INDEX(PRODUCTORES!$B:$B, MATCH(C61, PRODUCTORES!$F:$F, 0)) &amp; " " &amp; INDEX(PRODUCTORES!$C:$C, MATCH(C61, PRODUCTORES!$F:$F, 0)), IFERROR(INDEX(PRODUCTORES!$B:$B, MATCH(C61, PRODUCTORES!$A:$A, 0)) &amp; " " &amp; INDEX(PRODUCTORES!$C:$C, MATCH(C61, PRODUCTORES!$A:$A, 0)), IFERROR(TRIM(MID(C61, SEARCH(" - ", C61) + 3, 100)), "NO ENCONTRADO"))))</f>
        <v>MANSILLA IRIS</v>
      </c>
      <c r="E61" s="13" t="str">
        <f t="array" ref="E61">IF(C61="","",IFERROR(INDEX(PRODUCTORES!$D:$D, MATCH(C61, PRODUCTORES!$F:$F, 0)), IFERROR(INDEX(PRODUCTORES!$D:$D, MATCH(IF(ISNUMBER(SEARCH(" - ", C61)), LEFT(C61, SEARCH(" - ", C61) - 1), C61), PRODUCTORES!$A:$A, 0)), "-")))</f>
        <v>Sí</v>
      </c>
      <c r="F61" s="14" t="s">
        <v>58</v>
      </c>
      <c r="G61" s="15">
        <v>2.0</v>
      </c>
      <c r="H61" s="14"/>
    </row>
    <row r="62" ht="15.75" customHeight="1">
      <c r="A62" s="8" t="str">
        <f t="shared" si="1"/>
        <v>ENT-0016</v>
      </c>
      <c r="B62" s="9">
        <v>46279.0</v>
      </c>
      <c r="C62" s="10" t="s">
        <v>987</v>
      </c>
      <c r="D62" s="12" t="str">
        <f t="array" ref="D62">IF(C62="","",IFERROR(INDEX(PRODUCTORES!$B:$B, MATCH(C62, PRODUCTORES!$F:$F, 0)) &amp; " " &amp; INDEX(PRODUCTORES!$C:$C, MATCH(C62, PRODUCTORES!$F:$F, 0)), IFERROR(INDEX(PRODUCTORES!$B:$B, MATCH(C62, PRODUCTORES!$A:$A, 0)) &amp; " " &amp; INDEX(PRODUCTORES!$C:$C, MATCH(C62, PRODUCTORES!$A:$A, 0)), IFERROR(TRIM(MID(C62, SEARCH(" - ", C62) + 3, 100)), "NO ENCONTRADO"))))</f>
        <v>MENDIOLA JOSE</v>
      </c>
      <c r="E62" s="13" t="str">
        <f t="array" ref="E62">IF(C62="","",IFERROR(INDEX(PRODUCTORES!$D:$D, MATCH(C62, PRODUCTORES!$F:$F, 0)), IFERROR(INDEX(PRODUCTORES!$D:$D, MATCH(IF(ISNUMBER(SEARCH(" - ", C62)), LEFT(C62, SEARCH(" - ", C62) - 1), C62), PRODUCTORES!$A:$A, 0)), "-")))</f>
        <v>Sí</v>
      </c>
      <c r="F62" s="14" t="s">
        <v>58</v>
      </c>
      <c r="G62" s="15">
        <v>5.0</v>
      </c>
      <c r="H62" s="16"/>
    </row>
    <row r="63" ht="15.75" customHeight="1">
      <c r="A63" s="8" t="str">
        <f t="shared" si="1"/>
        <v>ENT-0016</v>
      </c>
      <c r="B63" s="9">
        <v>46279.0</v>
      </c>
      <c r="C63" s="10" t="s">
        <v>987</v>
      </c>
      <c r="D63" s="12" t="str">
        <f t="array" ref="D63">IF(C63="","",IFERROR(INDEX(PRODUCTORES!$B:$B, MATCH(C63, PRODUCTORES!$F:$F, 0)) &amp; " " &amp; INDEX(PRODUCTORES!$C:$C, MATCH(C63, PRODUCTORES!$F:$F, 0)), IFERROR(INDEX(PRODUCTORES!$B:$B, MATCH(C63, PRODUCTORES!$A:$A, 0)) &amp; " " &amp; INDEX(PRODUCTORES!$C:$C, MATCH(C63, PRODUCTORES!$A:$A, 0)), IFERROR(TRIM(MID(C63, SEARCH(" - ", C63) + 3, 100)), "NO ENCONTRADO"))))</f>
        <v>MENDIOLA JOSE</v>
      </c>
      <c r="E63" s="13" t="str">
        <f t="array" ref="E63">IF(C63="","",IFERROR(INDEX(PRODUCTORES!$D:$D, MATCH(C63, PRODUCTORES!$F:$F, 0)), IFERROR(INDEX(PRODUCTORES!$D:$D, MATCH(IF(ISNUMBER(SEARCH(" - ", C63)), LEFT(C63, SEARCH(" - ", C63) - 1), C63), PRODUCTORES!$A:$A, 0)), "-")))</f>
        <v>Sí</v>
      </c>
      <c r="F63" s="14" t="s">
        <v>50</v>
      </c>
      <c r="G63" s="15">
        <v>5.0</v>
      </c>
      <c r="H63" s="14"/>
    </row>
    <row r="64" ht="15.75" customHeight="1">
      <c r="A64" s="8" t="str">
        <f t="shared" si="1"/>
        <v>ENT-0016</v>
      </c>
      <c r="B64" s="9">
        <v>46279.0</v>
      </c>
      <c r="C64" s="10" t="s">
        <v>987</v>
      </c>
      <c r="D64" s="12" t="str">
        <f t="array" ref="D64">IF(C64="","",IFERROR(INDEX(PRODUCTORES!$B:$B, MATCH(C64, PRODUCTORES!$F:$F, 0)) &amp; " " &amp; INDEX(PRODUCTORES!$C:$C, MATCH(C64, PRODUCTORES!$F:$F, 0)), IFERROR(INDEX(PRODUCTORES!$B:$B, MATCH(C64, PRODUCTORES!$A:$A, 0)) &amp; " " &amp; INDEX(PRODUCTORES!$C:$C, MATCH(C64, PRODUCTORES!$A:$A, 0)), IFERROR(TRIM(MID(C64, SEARCH(" - ", C64) + 3, 100)), "NO ENCONTRADO"))))</f>
        <v>MENDIOLA JOSE</v>
      </c>
      <c r="E64" s="13" t="str">
        <f t="array" ref="E64">IF(C64="","",IFERROR(INDEX(PRODUCTORES!$D:$D, MATCH(C64, PRODUCTORES!$F:$F, 0)), IFERROR(INDEX(PRODUCTORES!$D:$D, MATCH(IF(ISNUMBER(SEARCH(" - ", C64)), LEFT(C64, SEARCH(" - ", C64) - 1), C64), PRODUCTORES!$A:$A, 0)), "-")))</f>
        <v>Sí</v>
      </c>
      <c r="F64" s="14" t="s">
        <v>11</v>
      </c>
      <c r="G64" s="15">
        <v>8.0</v>
      </c>
      <c r="H64" s="14"/>
    </row>
    <row r="65" ht="15.75" customHeight="1">
      <c r="A65" s="8" t="str">
        <f t="shared" si="1"/>
        <v>ENT-0017</v>
      </c>
      <c r="B65" s="9">
        <v>46279.0</v>
      </c>
      <c r="C65" s="10" t="s">
        <v>1036</v>
      </c>
      <c r="D65" s="12" t="str">
        <f t="array" ref="D65">IF(C65="","",IFERROR(INDEX(PRODUCTORES!$B:$B, MATCH(C65, PRODUCTORES!$F:$F, 0)) &amp; " " &amp; INDEX(PRODUCTORES!$C:$C, MATCH(C65, PRODUCTORES!$F:$F, 0)), IFERROR(INDEX(PRODUCTORES!$B:$B, MATCH(C65, PRODUCTORES!$A:$A, 0)) &amp; " " &amp; INDEX(PRODUCTORES!$C:$C, MATCH(C65, PRODUCTORES!$A:$A, 0)), IFERROR(TRIM(MID(C65, SEARCH(" - ", C65) + 3, 100)), "NO ENCONTRADO"))))</f>
        <v>MONTIVERO GALO</v>
      </c>
      <c r="E65" s="13" t="str">
        <f t="array" ref="E65">IF(C65="","",IFERROR(INDEX(PRODUCTORES!$D:$D, MATCH(C65, PRODUCTORES!$F:$F, 0)), IFERROR(INDEX(PRODUCTORES!$D:$D, MATCH(IF(ISNUMBER(SEARCH(" - ", C65)), LEFT(C65, SEARCH(" - ", C65) - 1), C65), PRODUCTORES!$A:$A, 0)), "-")))</f>
        <v>Sí</v>
      </c>
      <c r="F65" s="14" t="s">
        <v>58</v>
      </c>
      <c r="G65" s="15">
        <v>4.0</v>
      </c>
      <c r="H65" s="14"/>
    </row>
    <row r="66" ht="15.75" customHeight="1">
      <c r="A66" s="8" t="str">
        <f t="shared" si="1"/>
        <v>ENT-0018</v>
      </c>
      <c r="B66" s="9">
        <v>46279.0</v>
      </c>
      <c r="C66" s="10" t="s">
        <v>1094</v>
      </c>
      <c r="D66" s="12" t="str">
        <f t="array" ref="D66">IF(C66="","",IFERROR(INDEX(PRODUCTORES!$B:$B, MATCH(C66, PRODUCTORES!$F:$F, 0)) &amp; " " &amp; INDEX(PRODUCTORES!$C:$C, MATCH(C66, PRODUCTORES!$F:$F, 0)), IFERROR(INDEX(PRODUCTORES!$B:$B, MATCH(C66, PRODUCTORES!$A:$A, 0)) &amp; " " &amp; INDEX(PRODUCTORES!$C:$C, MATCH(C66, PRODUCTORES!$A:$A, 0)), IFERROR(TRIM(MID(C66, SEARCH(" - ", C66) + 3, 100)), "NO ENCONTRADO"))))</f>
        <v>NIZ MIRTA AZUCENA</v>
      </c>
      <c r="E66" s="13" t="str">
        <f t="array" ref="E66">IF(C66="","",IFERROR(INDEX(PRODUCTORES!$D:$D, MATCH(C66, PRODUCTORES!$F:$F, 0)), IFERROR(INDEX(PRODUCTORES!$D:$D, MATCH(IF(ISNUMBER(SEARCH(" - ", C66)), LEFT(C66, SEARCH(" - ", C66) - 1), C66), PRODUCTORES!$A:$A, 0)), "-")))</f>
        <v>Sí</v>
      </c>
      <c r="F66" s="14" t="s">
        <v>58</v>
      </c>
      <c r="G66" s="15">
        <v>1.0</v>
      </c>
      <c r="H66" s="16"/>
    </row>
    <row r="67" ht="15.75" customHeight="1">
      <c r="A67" s="8" t="str">
        <f t="shared" si="1"/>
        <v>ENT-0018</v>
      </c>
      <c r="B67" s="9">
        <v>46279.0</v>
      </c>
      <c r="C67" s="10" t="s">
        <v>1094</v>
      </c>
      <c r="D67" s="12" t="str">
        <f t="array" ref="D67">IF(C67="","",IFERROR(INDEX(PRODUCTORES!$B:$B, MATCH(C67, PRODUCTORES!$F:$F, 0)) &amp; " " &amp; INDEX(PRODUCTORES!$C:$C, MATCH(C67, PRODUCTORES!$F:$F, 0)), IFERROR(INDEX(PRODUCTORES!$B:$B, MATCH(C67, PRODUCTORES!$A:$A, 0)) &amp; " " &amp; INDEX(PRODUCTORES!$C:$C, MATCH(C67, PRODUCTORES!$A:$A, 0)), IFERROR(TRIM(MID(C67, SEARCH(" - ", C67) + 3, 100)), "NO ENCONTRADO"))))</f>
        <v>NIZ MIRTA AZUCENA</v>
      </c>
      <c r="E67" s="13" t="str">
        <f t="array" ref="E67">IF(C67="","",IFERROR(INDEX(PRODUCTORES!$D:$D, MATCH(C67, PRODUCTORES!$F:$F, 0)), IFERROR(INDEX(PRODUCTORES!$D:$D, MATCH(IF(ISNUMBER(SEARCH(" - ", C67)), LEFT(C67, SEARCH(" - ", C67) - 1), C67), PRODUCTORES!$A:$A, 0)), "-")))</f>
        <v>Sí</v>
      </c>
      <c r="F67" s="14" t="s">
        <v>11</v>
      </c>
      <c r="G67" s="15">
        <v>1.0</v>
      </c>
      <c r="H67" s="14"/>
    </row>
    <row r="68" ht="15.75" customHeight="1">
      <c r="A68" s="8" t="str">
        <f t="shared" si="1"/>
        <v>ENT-0018</v>
      </c>
      <c r="B68" s="9">
        <v>46279.0</v>
      </c>
      <c r="C68" s="10" t="s">
        <v>1094</v>
      </c>
      <c r="D68" s="12" t="str">
        <f t="array" ref="D68">IF(C68="","",IFERROR(INDEX(PRODUCTORES!$B:$B, MATCH(C68, PRODUCTORES!$F:$F, 0)) &amp; " " &amp; INDEX(PRODUCTORES!$C:$C, MATCH(C68, PRODUCTORES!$F:$F, 0)), IFERROR(INDEX(PRODUCTORES!$B:$B, MATCH(C68, PRODUCTORES!$A:$A, 0)) &amp; " " &amp; INDEX(PRODUCTORES!$C:$C, MATCH(C68, PRODUCTORES!$A:$A, 0)), IFERROR(TRIM(MID(C68, SEARCH(" - ", C68) + 3, 100)), "NO ENCONTRADO"))))</f>
        <v>NIZ MIRTA AZUCENA</v>
      </c>
      <c r="E68" s="13" t="str">
        <f t="array" ref="E68">IF(C68="","",IFERROR(INDEX(PRODUCTORES!$D:$D, MATCH(C68, PRODUCTORES!$F:$F, 0)), IFERROR(INDEX(PRODUCTORES!$D:$D, MATCH(IF(ISNUMBER(SEARCH(" - ", C68)), LEFT(C68, SEARCH(" - ", C68) - 1), C68), PRODUCTORES!$A:$A, 0)), "-")))</f>
        <v>Sí</v>
      </c>
      <c r="F68" s="14" t="s">
        <v>46</v>
      </c>
      <c r="G68" s="15">
        <v>1.0</v>
      </c>
      <c r="H68" s="14"/>
    </row>
    <row r="69" ht="15.75" customHeight="1">
      <c r="A69" s="8" t="str">
        <f t="shared" si="1"/>
        <v>ENT-0018</v>
      </c>
      <c r="B69" s="9">
        <v>46279.0</v>
      </c>
      <c r="C69" s="10" t="s">
        <v>1094</v>
      </c>
      <c r="D69" s="12" t="str">
        <f t="array" ref="D69">IF(C69="","",IFERROR(INDEX(PRODUCTORES!$B:$B, MATCH(C69, PRODUCTORES!$F:$F, 0)) &amp; " " &amp; INDEX(PRODUCTORES!$C:$C, MATCH(C69, PRODUCTORES!$F:$F, 0)), IFERROR(INDEX(PRODUCTORES!$B:$B, MATCH(C69, PRODUCTORES!$A:$A, 0)) &amp; " " &amp; INDEX(PRODUCTORES!$C:$C, MATCH(C69, PRODUCTORES!$A:$A, 0)), IFERROR(TRIM(MID(C69, SEARCH(" - ", C69) + 3, 100)), "NO ENCONTRADO"))))</f>
        <v>NIZ MIRTA AZUCENA</v>
      </c>
      <c r="E69" s="13" t="str">
        <f t="array" ref="E69">IF(C69="","",IFERROR(INDEX(PRODUCTORES!$D:$D, MATCH(C69, PRODUCTORES!$F:$F, 0)), IFERROR(INDEX(PRODUCTORES!$D:$D, MATCH(IF(ISNUMBER(SEARCH(" - ", C69)), LEFT(C69, SEARCH(" - ", C69) - 1), C69), PRODUCTORES!$A:$A, 0)), "-")))</f>
        <v>Sí</v>
      </c>
      <c r="F69" s="14" t="s">
        <v>81</v>
      </c>
      <c r="G69" s="15">
        <v>1.0</v>
      </c>
      <c r="H69" s="14"/>
    </row>
    <row r="70" ht="15.75" customHeight="1">
      <c r="A70" s="8" t="str">
        <f t="shared" si="1"/>
        <v>ENT-0018</v>
      </c>
      <c r="B70" s="9">
        <v>46279.0</v>
      </c>
      <c r="C70" s="10" t="s">
        <v>1094</v>
      </c>
      <c r="D70" s="12" t="str">
        <f t="array" ref="D70">IF(C70="","",IFERROR(INDEX(PRODUCTORES!$B:$B, MATCH(C70, PRODUCTORES!$F:$F, 0)) &amp; " " &amp; INDEX(PRODUCTORES!$C:$C, MATCH(C70, PRODUCTORES!$F:$F, 0)), IFERROR(INDEX(PRODUCTORES!$B:$B, MATCH(C70, PRODUCTORES!$A:$A, 0)) &amp; " " &amp; INDEX(PRODUCTORES!$C:$C, MATCH(C70, PRODUCTORES!$A:$A, 0)), IFERROR(TRIM(MID(C70, SEARCH(" - ", C70) + 3, 100)), "NO ENCONTRADO"))))</f>
        <v>NIZ MIRTA AZUCENA</v>
      </c>
      <c r="E70" s="13" t="str">
        <f t="array" ref="E70">IF(C70="","",IFERROR(INDEX(PRODUCTORES!$D:$D, MATCH(C70, PRODUCTORES!$F:$F, 0)), IFERROR(INDEX(PRODUCTORES!$D:$D, MATCH(IF(ISNUMBER(SEARCH(" - ", C70)), LEFT(C70, SEARCH(" - ", C70) - 1), C70), PRODUCTORES!$A:$A, 0)), "-")))</f>
        <v>Sí</v>
      </c>
      <c r="F70" s="14" t="s">
        <v>78</v>
      </c>
      <c r="G70" s="15">
        <v>1.0</v>
      </c>
      <c r="H70" s="16"/>
    </row>
    <row r="71" ht="15.75" customHeight="1">
      <c r="A71" s="8" t="str">
        <f t="shared" si="1"/>
        <v>ENT-0018</v>
      </c>
      <c r="B71" s="9">
        <v>46279.0</v>
      </c>
      <c r="C71" s="10" t="s">
        <v>1094</v>
      </c>
      <c r="D71" s="12" t="str">
        <f t="array" ref="D71">IF(C71="","",IFERROR(INDEX(PRODUCTORES!$B:$B, MATCH(C71, PRODUCTORES!$F:$F, 0)) &amp; " " &amp; INDEX(PRODUCTORES!$C:$C, MATCH(C71, PRODUCTORES!$F:$F, 0)), IFERROR(INDEX(PRODUCTORES!$B:$B, MATCH(C71, PRODUCTORES!$A:$A, 0)) &amp; " " &amp; INDEX(PRODUCTORES!$C:$C, MATCH(C71, PRODUCTORES!$A:$A, 0)), IFERROR(TRIM(MID(C71, SEARCH(" - ", C71) + 3, 100)), "NO ENCONTRADO"))))</f>
        <v>NIZ MIRTA AZUCENA</v>
      </c>
      <c r="E71" s="13" t="str">
        <f t="array" ref="E71">IF(C71="","",IFERROR(INDEX(PRODUCTORES!$D:$D, MATCH(C71, PRODUCTORES!$F:$F, 0)), IFERROR(INDEX(PRODUCTORES!$D:$D, MATCH(IF(ISNUMBER(SEARCH(" - ", C71)), LEFT(C71, SEARCH(" - ", C71) - 1), C71), PRODUCTORES!$A:$A, 0)), "-")))</f>
        <v>Sí</v>
      </c>
      <c r="F71" s="14" t="s">
        <v>70</v>
      </c>
      <c r="G71" s="15">
        <v>1.0</v>
      </c>
      <c r="H71" s="16"/>
    </row>
    <row r="72" ht="15.75" customHeight="1">
      <c r="A72" s="8" t="str">
        <f t="shared" si="1"/>
        <v>ENT-0019</v>
      </c>
      <c r="B72" s="9">
        <v>46279.0</v>
      </c>
      <c r="C72" s="10" t="s">
        <v>811</v>
      </c>
      <c r="D72" s="12" t="str">
        <f t="array" ref="D72">IF(C72="","",IFERROR(INDEX(PRODUCTORES!$B:$B, MATCH(C72, PRODUCTORES!$F:$F, 0)) &amp; " " &amp; INDEX(PRODUCTORES!$C:$C, MATCH(C72, PRODUCTORES!$F:$F, 0)), IFERROR(INDEX(PRODUCTORES!$B:$B, MATCH(C72, PRODUCTORES!$A:$A, 0)) &amp; " " &amp; INDEX(PRODUCTORES!$C:$C, MATCH(C72, PRODUCTORES!$A:$A, 0)), IFERROR(TRIM(MID(C72, SEARCH(" - ", C72) + 3, 100)), "NO ENCONTRADO"))))</f>
        <v>LARREA / OYARZUN VERA IRENE / HUGO</v>
      </c>
      <c r="E72" s="13" t="str">
        <f t="array" ref="E72">IF(C72="","",IFERROR(INDEX(PRODUCTORES!$D:$D, MATCH(C72, PRODUCTORES!$F:$F, 0)), IFERROR(INDEX(PRODUCTORES!$D:$D, MATCH(IF(ISNUMBER(SEARCH(" - ", C72)), LEFT(C72, SEARCH(" - ", C72) - 1), C72), PRODUCTORES!$A:$A, 0)), "-")))</f>
        <v>Sí</v>
      </c>
      <c r="F72" s="14" t="s">
        <v>58</v>
      </c>
      <c r="G72" s="15">
        <v>3.0</v>
      </c>
      <c r="H72" s="16"/>
    </row>
    <row r="73" ht="15.75" customHeight="1">
      <c r="A73" s="8" t="str">
        <f t="shared" si="1"/>
        <v>ENT-0019</v>
      </c>
      <c r="B73" s="9">
        <v>46279.0</v>
      </c>
      <c r="C73" s="10" t="s">
        <v>811</v>
      </c>
      <c r="D73" s="12" t="str">
        <f t="array" ref="D73">IF(C73="","",IFERROR(INDEX(PRODUCTORES!$B:$B, MATCH(C73, PRODUCTORES!$F:$F, 0)) &amp; " " &amp; INDEX(PRODUCTORES!$C:$C, MATCH(C73, PRODUCTORES!$F:$F, 0)), IFERROR(INDEX(PRODUCTORES!$B:$B, MATCH(C73, PRODUCTORES!$A:$A, 0)) &amp; " " &amp; INDEX(PRODUCTORES!$C:$C, MATCH(C73, PRODUCTORES!$A:$A, 0)), IFERROR(TRIM(MID(C73, SEARCH(" - ", C73) + 3, 100)), "NO ENCONTRADO"))))</f>
        <v>LARREA / OYARZUN VERA IRENE / HUGO</v>
      </c>
      <c r="E73" s="13" t="str">
        <f t="array" ref="E73">IF(C73="","",IFERROR(INDEX(PRODUCTORES!$D:$D, MATCH(C73, PRODUCTORES!$F:$F, 0)), IFERROR(INDEX(PRODUCTORES!$D:$D, MATCH(IF(ISNUMBER(SEARCH(" - ", C73)), LEFT(C73, SEARCH(" - ", C73) - 1), C73), PRODUCTORES!$A:$A, 0)), "-")))</f>
        <v>Sí</v>
      </c>
      <c r="F73" s="14" t="s">
        <v>70</v>
      </c>
      <c r="G73" s="15">
        <v>2.0</v>
      </c>
      <c r="H73" s="16"/>
    </row>
    <row r="74" ht="15.75" customHeight="1">
      <c r="A74" s="8" t="str">
        <f t="shared" si="1"/>
        <v>ENT-0019</v>
      </c>
      <c r="B74" s="9">
        <v>46279.0</v>
      </c>
      <c r="C74" s="10" t="s">
        <v>811</v>
      </c>
      <c r="D74" s="12" t="str">
        <f t="array" ref="D74">IF(C74="","",IFERROR(INDEX(PRODUCTORES!$B:$B, MATCH(C74, PRODUCTORES!$F:$F, 0)) &amp; " " &amp; INDEX(PRODUCTORES!$C:$C, MATCH(C74, PRODUCTORES!$F:$F, 0)), IFERROR(INDEX(PRODUCTORES!$B:$B, MATCH(C74, PRODUCTORES!$A:$A, 0)) &amp; " " &amp; INDEX(PRODUCTORES!$C:$C, MATCH(C74, PRODUCTORES!$A:$A, 0)), IFERROR(TRIM(MID(C74, SEARCH(" - ", C74) + 3, 100)), "NO ENCONTRADO"))))</f>
        <v>LARREA / OYARZUN VERA IRENE / HUGO</v>
      </c>
      <c r="E74" s="13" t="str">
        <f t="array" ref="E74">IF(C74="","",IFERROR(INDEX(PRODUCTORES!$D:$D, MATCH(C74, PRODUCTORES!$F:$F, 0)), IFERROR(INDEX(PRODUCTORES!$D:$D, MATCH(IF(ISNUMBER(SEARCH(" - ", C74)), LEFT(C74, SEARCH(" - ", C74) - 1), C74), PRODUCTORES!$A:$A, 0)), "-")))</f>
        <v>Sí</v>
      </c>
      <c r="F74" s="14" t="s">
        <v>50</v>
      </c>
      <c r="G74" s="15">
        <v>1.0</v>
      </c>
      <c r="H74" s="16"/>
    </row>
    <row r="75" ht="15.75" customHeight="1">
      <c r="A75" s="8" t="str">
        <f t="shared" si="1"/>
        <v>ENT-0020</v>
      </c>
      <c r="B75" s="9">
        <v>46279.0</v>
      </c>
      <c r="C75" s="10" t="s">
        <v>954</v>
      </c>
      <c r="D75" s="12" t="str">
        <f t="array" ref="D75">IF(C75="","",IFERROR(INDEX(PRODUCTORES!$B:$B, MATCH(C75, PRODUCTORES!$F:$F, 0)) &amp; " " &amp; INDEX(PRODUCTORES!$C:$C, MATCH(C75, PRODUCTORES!$F:$F, 0)), IFERROR(INDEX(PRODUCTORES!$B:$B, MATCH(C75, PRODUCTORES!$A:$A, 0)) &amp; " " &amp; INDEX(PRODUCTORES!$C:$C, MATCH(C75, PRODUCTORES!$A:$A, 0)), IFERROR(TRIM(MID(C75, SEARCH(" - ", C75) + 3, 100)), "NO ENCONTRADO"))))</f>
        <v>PALMIERI MARIO SEBASTIAN</v>
      </c>
      <c r="E75" s="13" t="str">
        <f t="array" ref="E75">IF(C75="","",IFERROR(INDEX(PRODUCTORES!$D:$D, MATCH(C75, PRODUCTORES!$F:$F, 0)), IFERROR(INDEX(PRODUCTORES!$D:$D, MATCH(IF(ISNUMBER(SEARCH(" - ", C75)), LEFT(C75, SEARCH(" - ", C75) - 1), C75), PRODUCTORES!$A:$A, 0)), "-")))</f>
        <v>Sí</v>
      </c>
      <c r="F75" s="14" t="s">
        <v>58</v>
      </c>
      <c r="G75" s="15">
        <v>20.0</v>
      </c>
      <c r="H75" s="16"/>
    </row>
    <row r="76" ht="15.75" customHeight="1">
      <c r="A76" s="8" t="str">
        <f t="shared" si="1"/>
        <v>ENT-0021</v>
      </c>
      <c r="B76" s="9">
        <v>46279.0</v>
      </c>
      <c r="C76" s="10" t="s">
        <v>1193</v>
      </c>
      <c r="D76" s="12" t="str">
        <f t="array" ref="D76">IF(C76="","",IFERROR(INDEX(PRODUCTORES!$B:$B, MATCH(C76, PRODUCTORES!$F:$F, 0)) &amp; " " &amp; INDEX(PRODUCTORES!$C:$C, MATCH(C76, PRODUCTORES!$F:$F, 0)), IFERROR(INDEX(PRODUCTORES!$B:$B, MATCH(C76, PRODUCTORES!$A:$A, 0)) &amp; " " &amp; INDEX(PRODUCTORES!$C:$C, MATCH(C76, PRODUCTORES!$A:$A, 0)), IFERROR(TRIM(MID(C76, SEARCH(" - ", C76) + 3, 100)), "NO ENCONTRADO"))))</f>
        <v>PEREZ CARDENAS MARIA EUGENIA</v>
      </c>
      <c r="E76" s="13" t="str">
        <f t="array" ref="E76">IF(C76="","",IFERROR(INDEX(PRODUCTORES!$D:$D, MATCH(C76, PRODUCTORES!$F:$F, 0)), IFERROR(INDEX(PRODUCTORES!$D:$D, MATCH(IF(ISNUMBER(SEARCH(" - ", C76)), LEFT(C76, SEARCH(" - ", C76) - 1), C76), PRODUCTORES!$A:$A, 0)), "-")))</f>
        <v>Sí</v>
      </c>
      <c r="F76" s="14" t="s">
        <v>58</v>
      </c>
      <c r="G76" s="15">
        <v>4.0</v>
      </c>
      <c r="H76" s="16"/>
    </row>
    <row r="77" ht="15.75" customHeight="1">
      <c r="A77" s="8" t="str">
        <f t="shared" si="1"/>
        <v>ENT-0021</v>
      </c>
      <c r="B77" s="9">
        <v>46279.0</v>
      </c>
      <c r="C77" s="10" t="s">
        <v>1193</v>
      </c>
      <c r="D77" s="12" t="str">
        <f t="array" ref="D77">IF(C77="","",IFERROR(INDEX(PRODUCTORES!$B:$B, MATCH(C77, PRODUCTORES!$F:$F, 0)) &amp; " " &amp; INDEX(PRODUCTORES!$C:$C, MATCH(C77, PRODUCTORES!$F:$F, 0)), IFERROR(INDEX(PRODUCTORES!$B:$B, MATCH(C77, PRODUCTORES!$A:$A, 0)) &amp; " " &amp; INDEX(PRODUCTORES!$C:$C, MATCH(C77, PRODUCTORES!$A:$A, 0)), IFERROR(TRIM(MID(C77, SEARCH(" - ", C77) + 3, 100)), "NO ENCONTRADO"))))</f>
        <v>PEREZ CARDENAS MARIA EUGENIA</v>
      </c>
      <c r="E77" s="13" t="str">
        <f t="array" ref="E77">IF(C77="","",IFERROR(INDEX(PRODUCTORES!$D:$D, MATCH(C77, PRODUCTORES!$F:$F, 0)), IFERROR(INDEX(PRODUCTORES!$D:$D, MATCH(IF(ISNUMBER(SEARCH(" - ", C77)), LEFT(C77, SEARCH(" - ", C77) - 1), C77), PRODUCTORES!$A:$A, 0)), "-")))</f>
        <v>Sí</v>
      </c>
      <c r="F77" s="14" t="s">
        <v>50</v>
      </c>
      <c r="G77" s="15">
        <v>3.0</v>
      </c>
      <c r="H77" s="16"/>
    </row>
    <row r="78" ht="15.75" customHeight="1">
      <c r="A78" s="8" t="str">
        <f t="shared" si="1"/>
        <v>ENT-0021</v>
      </c>
      <c r="B78" s="9">
        <v>46279.0</v>
      </c>
      <c r="C78" s="10" t="s">
        <v>1193</v>
      </c>
      <c r="D78" s="12" t="str">
        <f t="array" ref="D78">IF(C78="","",IFERROR(INDEX(PRODUCTORES!$B:$B, MATCH(C78, PRODUCTORES!$F:$F, 0)) &amp; " " &amp; INDEX(PRODUCTORES!$C:$C, MATCH(C78, PRODUCTORES!$F:$F, 0)), IFERROR(INDEX(PRODUCTORES!$B:$B, MATCH(C78, PRODUCTORES!$A:$A, 0)) &amp; " " &amp; INDEX(PRODUCTORES!$C:$C, MATCH(C78, PRODUCTORES!$A:$A, 0)), IFERROR(TRIM(MID(C78, SEARCH(" - ", C78) + 3, 100)), "NO ENCONTRADO"))))</f>
        <v>PEREZ CARDENAS MARIA EUGENIA</v>
      </c>
      <c r="E78" s="13" t="str">
        <f t="array" ref="E78">IF(C78="","",IFERROR(INDEX(PRODUCTORES!$D:$D, MATCH(C78, PRODUCTORES!$F:$F, 0)), IFERROR(INDEX(PRODUCTORES!$D:$D, MATCH(IF(ISNUMBER(SEARCH(" - ", C78)), LEFT(C78, SEARCH(" - ", C78) - 1), C78), PRODUCTORES!$A:$A, 0)), "-")))</f>
        <v>Sí</v>
      </c>
      <c r="F78" s="14" t="s">
        <v>70</v>
      </c>
      <c r="G78" s="15">
        <v>3.0</v>
      </c>
      <c r="H78" s="16"/>
    </row>
    <row r="79" ht="15.75" customHeight="1">
      <c r="A79" s="8" t="str">
        <f t="shared" si="1"/>
        <v>ENT-0021</v>
      </c>
      <c r="B79" s="9">
        <v>46279.0</v>
      </c>
      <c r="C79" s="10" t="s">
        <v>1193</v>
      </c>
      <c r="D79" s="12" t="str">
        <f t="array" ref="D79">IF(C79="","",IFERROR(INDEX(PRODUCTORES!$B:$B, MATCH(C79, PRODUCTORES!$F:$F, 0)) &amp; " " &amp; INDEX(PRODUCTORES!$C:$C, MATCH(C79, PRODUCTORES!$F:$F, 0)), IFERROR(INDEX(PRODUCTORES!$B:$B, MATCH(C79, PRODUCTORES!$A:$A, 0)) &amp; " " &amp; INDEX(PRODUCTORES!$C:$C, MATCH(C79, PRODUCTORES!$A:$A, 0)), IFERROR(TRIM(MID(C79, SEARCH(" - ", C79) + 3, 100)), "NO ENCONTRADO"))))</f>
        <v>PEREZ CARDENAS MARIA EUGENIA</v>
      </c>
      <c r="E79" s="13" t="str">
        <f t="array" ref="E79">IF(C79="","",IFERROR(INDEX(PRODUCTORES!$D:$D, MATCH(C79, PRODUCTORES!$F:$F, 0)), IFERROR(INDEX(PRODUCTORES!$D:$D, MATCH(IF(ISNUMBER(SEARCH(" - ", C79)), LEFT(C79, SEARCH(" - ", C79) - 1), C79), PRODUCTORES!$A:$A, 0)), "-")))</f>
        <v>Sí</v>
      </c>
      <c r="F79" s="14" t="s">
        <v>11</v>
      </c>
      <c r="G79" s="15">
        <v>3.0</v>
      </c>
      <c r="H79" s="16"/>
    </row>
    <row r="80" ht="15.75" customHeight="1">
      <c r="A80" s="8" t="str">
        <f t="shared" si="1"/>
        <v>ENT-0021</v>
      </c>
      <c r="B80" s="9">
        <v>46279.0</v>
      </c>
      <c r="C80" s="10" t="s">
        <v>1193</v>
      </c>
      <c r="D80" s="12" t="str">
        <f t="array" ref="D80">IF(C80="","",IFERROR(INDEX(PRODUCTORES!$B:$B, MATCH(C80, PRODUCTORES!$F:$F, 0)) &amp; " " &amp; INDEX(PRODUCTORES!$C:$C, MATCH(C80, PRODUCTORES!$F:$F, 0)), IFERROR(INDEX(PRODUCTORES!$B:$B, MATCH(C80, PRODUCTORES!$A:$A, 0)) &amp; " " &amp; INDEX(PRODUCTORES!$C:$C, MATCH(C80, PRODUCTORES!$A:$A, 0)), IFERROR(TRIM(MID(C80, SEARCH(" - ", C80) + 3, 100)), "NO ENCONTRADO"))))</f>
        <v>PEREZ CARDENAS MARIA EUGENIA</v>
      </c>
      <c r="E80" s="13" t="str">
        <f t="array" ref="E80">IF(C80="","",IFERROR(INDEX(PRODUCTORES!$D:$D, MATCH(C80, PRODUCTORES!$F:$F, 0)), IFERROR(INDEX(PRODUCTORES!$D:$D, MATCH(IF(ISNUMBER(SEARCH(" - ", C80)), LEFT(C80, SEARCH(" - ", C80) - 1), C80), PRODUCTORES!$A:$A, 0)), "-")))</f>
        <v>Sí</v>
      </c>
      <c r="F80" s="14" t="s">
        <v>56</v>
      </c>
      <c r="G80" s="15">
        <v>2.0</v>
      </c>
      <c r="H80" s="16"/>
    </row>
    <row r="81" ht="15.75" customHeight="1">
      <c r="A81" s="8" t="str">
        <f t="shared" si="1"/>
        <v>ENT-0022</v>
      </c>
      <c r="B81" s="9">
        <v>46279.0</v>
      </c>
      <c r="C81" s="10" t="s">
        <v>1233</v>
      </c>
      <c r="D81" s="12" t="str">
        <f t="array" ref="D81">IF(C81="","",IFERROR(INDEX(PRODUCTORES!$B:$B, MATCH(C81, PRODUCTORES!$F:$F, 0)) &amp; " " &amp; INDEX(PRODUCTORES!$C:$C, MATCH(C81, PRODUCTORES!$F:$F, 0)), IFERROR(INDEX(PRODUCTORES!$B:$B, MATCH(C81, PRODUCTORES!$A:$A, 0)) &amp; " " &amp; INDEX(PRODUCTORES!$C:$C, MATCH(C81, PRODUCTORES!$A:$A, 0)), IFERROR(TRIM(MID(C81, SEARCH(" - ", C81) + 3, 100)), "NO ENCONTRADO"))))</f>
        <v>RAYAN RAUL ESTEBAN</v>
      </c>
      <c r="E81" s="13" t="str">
        <f t="array" ref="E81">IF(C81="","",IFERROR(INDEX(PRODUCTORES!$D:$D, MATCH(C81, PRODUCTORES!$F:$F, 0)), IFERROR(INDEX(PRODUCTORES!$D:$D, MATCH(IF(ISNUMBER(SEARCH(" - ", C81)), LEFT(C81, SEARCH(" - ", C81) - 1), C81), PRODUCTORES!$A:$A, 0)), "-")))</f>
        <v>Sí</v>
      </c>
      <c r="F81" s="14" t="s">
        <v>58</v>
      </c>
      <c r="G81" s="15">
        <v>5.0</v>
      </c>
      <c r="H81" s="16"/>
    </row>
    <row r="82" ht="15.75" customHeight="1">
      <c r="A82" s="8" t="str">
        <f t="shared" si="1"/>
        <v>ENT-0022</v>
      </c>
      <c r="B82" s="9">
        <v>46279.0</v>
      </c>
      <c r="C82" s="10" t="s">
        <v>1233</v>
      </c>
      <c r="D82" s="12" t="str">
        <f t="array" ref="D82">IF(C82="","",IFERROR(INDEX(PRODUCTORES!$B:$B, MATCH(C82, PRODUCTORES!$F:$F, 0)) &amp; " " &amp; INDEX(PRODUCTORES!$C:$C, MATCH(C82, PRODUCTORES!$F:$F, 0)), IFERROR(INDEX(PRODUCTORES!$B:$B, MATCH(C82, PRODUCTORES!$A:$A, 0)) &amp; " " &amp; INDEX(PRODUCTORES!$C:$C, MATCH(C82, PRODUCTORES!$A:$A, 0)), IFERROR(TRIM(MID(C82, SEARCH(" - ", C82) + 3, 100)), "NO ENCONTRADO"))))</f>
        <v>RAYAN RAUL ESTEBAN</v>
      </c>
      <c r="E82" s="13" t="str">
        <f t="array" ref="E82">IF(C82="","",IFERROR(INDEX(PRODUCTORES!$D:$D, MATCH(C82, PRODUCTORES!$F:$F, 0)), IFERROR(INDEX(PRODUCTORES!$D:$D, MATCH(IF(ISNUMBER(SEARCH(" - ", C82)), LEFT(C82, SEARCH(" - ", C82) - 1), C82), PRODUCTORES!$A:$A, 0)), "-")))</f>
        <v>Sí</v>
      </c>
      <c r="F82" s="14" t="s">
        <v>70</v>
      </c>
      <c r="G82" s="15">
        <v>2.0</v>
      </c>
      <c r="H82" s="16"/>
    </row>
    <row r="83" ht="15.75" customHeight="1">
      <c r="A83" s="8" t="str">
        <f t="shared" si="1"/>
        <v>ENT-0022</v>
      </c>
      <c r="B83" s="9">
        <v>46279.0</v>
      </c>
      <c r="C83" s="10" t="s">
        <v>1233</v>
      </c>
      <c r="D83" s="12" t="str">
        <f t="array" ref="D83">IF(C83="","",IFERROR(INDEX(PRODUCTORES!$B:$B, MATCH(C83, PRODUCTORES!$F:$F, 0)) &amp; " " &amp; INDEX(PRODUCTORES!$C:$C, MATCH(C83, PRODUCTORES!$F:$F, 0)), IFERROR(INDEX(PRODUCTORES!$B:$B, MATCH(C83, PRODUCTORES!$A:$A, 0)) &amp; " " &amp; INDEX(PRODUCTORES!$C:$C, MATCH(C83, PRODUCTORES!$A:$A, 0)), IFERROR(TRIM(MID(C83, SEARCH(" - ", C83) + 3, 100)), "NO ENCONTRADO"))))</f>
        <v>RAYAN RAUL ESTEBAN</v>
      </c>
      <c r="E83" s="13" t="str">
        <f t="array" ref="E83">IF(C83="","",IFERROR(INDEX(PRODUCTORES!$D:$D, MATCH(C83, PRODUCTORES!$F:$F, 0)), IFERROR(INDEX(PRODUCTORES!$D:$D, MATCH(IF(ISNUMBER(SEARCH(" - ", C83)), LEFT(C83, SEARCH(" - ", C83) - 1), C83), PRODUCTORES!$A:$A, 0)), "-")))</f>
        <v>Sí</v>
      </c>
      <c r="F83" s="14" t="s">
        <v>50</v>
      </c>
      <c r="G83" s="15">
        <v>2.0</v>
      </c>
      <c r="H83" s="16"/>
    </row>
    <row r="84" ht="15.75" customHeight="1">
      <c r="A84" s="8" t="str">
        <f t="shared" si="1"/>
        <v>ENT-0022</v>
      </c>
      <c r="B84" s="9">
        <v>46279.0</v>
      </c>
      <c r="C84" s="10" t="s">
        <v>1233</v>
      </c>
      <c r="D84" s="12" t="str">
        <f t="array" ref="D84">IF(C84="","",IFERROR(INDEX(PRODUCTORES!$B:$B, MATCH(C84, PRODUCTORES!$F:$F, 0)) &amp; " " &amp; INDEX(PRODUCTORES!$C:$C, MATCH(C84, PRODUCTORES!$F:$F, 0)), IFERROR(INDEX(PRODUCTORES!$B:$B, MATCH(C84, PRODUCTORES!$A:$A, 0)) &amp; " " &amp; INDEX(PRODUCTORES!$C:$C, MATCH(C84, PRODUCTORES!$A:$A, 0)), IFERROR(TRIM(MID(C84, SEARCH(" - ", C84) + 3, 100)), "NO ENCONTRADO"))))</f>
        <v>RAYAN RAUL ESTEBAN</v>
      </c>
      <c r="E84" s="13" t="str">
        <f t="array" ref="E84">IF(C84="","",IFERROR(INDEX(PRODUCTORES!$D:$D, MATCH(C84, PRODUCTORES!$F:$F, 0)), IFERROR(INDEX(PRODUCTORES!$D:$D, MATCH(IF(ISNUMBER(SEARCH(" - ", C84)), LEFT(C84, SEARCH(" - ", C84) - 1), C84), PRODUCTORES!$A:$A, 0)), "-")))</f>
        <v>Sí</v>
      </c>
      <c r="F84" s="14" t="s">
        <v>81</v>
      </c>
      <c r="G84" s="15">
        <v>1.0</v>
      </c>
      <c r="H84" s="16"/>
    </row>
    <row r="85" ht="15.75" customHeight="1">
      <c r="A85" s="8" t="str">
        <f t="shared" si="1"/>
        <v>ENT-0023</v>
      </c>
      <c r="B85" s="9">
        <v>46279.0</v>
      </c>
      <c r="C85" s="10" t="s">
        <v>1247</v>
      </c>
      <c r="D85" s="12" t="str">
        <f t="array" ref="D85">IF(C85="","",IFERROR(INDEX(PRODUCTORES!$B:$B, MATCH(C85, PRODUCTORES!$F:$F, 0)) &amp; " " &amp; INDEX(PRODUCTORES!$C:$C, MATCH(C85, PRODUCTORES!$F:$F, 0)), IFERROR(INDEX(PRODUCTORES!$B:$B, MATCH(C85, PRODUCTORES!$A:$A, 0)) &amp; " " &amp; INDEX(PRODUCTORES!$C:$C, MATCH(C85, PRODUCTORES!$A:$A, 0)), IFERROR(TRIM(MID(C85, SEARCH(" - ", C85) + 3, 100)), "NO ENCONTRADO"))))</f>
        <v>RODRIGUEZ FERNANDO EZEQUIEL</v>
      </c>
      <c r="E85" s="13" t="str">
        <f t="array" ref="E85">IF(C85="","",IFERROR(INDEX(PRODUCTORES!$D:$D, MATCH(C85, PRODUCTORES!$F:$F, 0)), IFERROR(INDEX(PRODUCTORES!$D:$D, MATCH(IF(ISNUMBER(SEARCH(" - ", C85)), LEFT(C85, SEARCH(" - ", C85) - 1), C85), PRODUCTORES!$A:$A, 0)), "-")))</f>
        <v>Sí</v>
      </c>
      <c r="F85" s="14" t="s">
        <v>58</v>
      </c>
      <c r="G85" s="15">
        <v>5.0</v>
      </c>
      <c r="H85" s="16"/>
    </row>
    <row r="86" ht="15.75" customHeight="1">
      <c r="A86" s="8" t="str">
        <f t="shared" si="1"/>
        <v>ENT-0023</v>
      </c>
      <c r="B86" s="9">
        <v>46279.0</v>
      </c>
      <c r="C86" s="10" t="s">
        <v>1247</v>
      </c>
      <c r="D86" s="12" t="str">
        <f t="array" ref="D86">IF(C86="","",IFERROR(INDEX(PRODUCTORES!$B:$B, MATCH(C86, PRODUCTORES!$F:$F, 0)) &amp; " " &amp; INDEX(PRODUCTORES!$C:$C, MATCH(C86, PRODUCTORES!$F:$F, 0)), IFERROR(INDEX(PRODUCTORES!$B:$B, MATCH(C86, PRODUCTORES!$A:$A, 0)) &amp; " " &amp; INDEX(PRODUCTORES!$C:$C, MATCH(C86, PRODUCTORES!$A:$A, 0)), IFERROR(TRIM(MID(C86, SEARCH(" - ", C86) + 3, 100)), "NO ENCONTRADO"))))</f>
        <v>RODRIGUEZ FERNANDO EZEQUIEL</v>
      </c>
      <c r="E86" s="13" t="str">
        <f t="array" ref="E86">IF(C86="","",IFERROR(INDEX(PRODUCTORES!$D:$D, MATCH(C86, PRODUCTORES!$F:$F, 0)), IFERROR(INDEX(PRODUCTORES!$D:$D, MATCH(IF(ISNUMBER(SEARCH(" - ", C86)), LEFT(C86, SEARCH(" - ", C86) - 1), C86), PRODUCTORES!$A:$A, 0)), "-")))</f>
        <v>Sí</v>
      </c>
      <c r="F86" s="14" t="s">
        <v>81</v>
      </c>
      <c r="G86" s="15">
        <v>3.0</v>
      </c>
      <c r="H86" s="16"/>
    </row>
    <row r="87" ht="15.75" customHeight="1">
      <c r="A87" s="8" t="str">
        <f t="shared" si="1"/>
        <v>ENT-0023</v>
      </c>
      <c r="B87" s="9">
        <v>46279.0</v>
      </c>
      <c r="C87" s="10" t="s">
        <v>1247</v>
      </c>
      <c r="D87" s="12" t="str">
        <f t="array" ref="D87">IF(C87="","",IFERROR(INDEX(PRODUCTORES!$B:$B, MATCH(C87, PRODUCTORES!$F:$F, 0)) &amp; " " &amp; INDEX(PRODUCTORES!$C:$C, MATCH(C87, PRODUCTORES!$F:$F, 0)), IFERROR(INDEX(PRODUCTORES!$B:$B, MATCH(C87, PRODUCTORES!$A:$A, 0)) &amp; " " &amp; INDEX(PRODUCTORES!$C:$C, MATCH(C87, PRODUCTORES!$A:$A, 0)), IFERROR(TRIM(MID(C87, SEARCH(" - ", C87) + 3, 100)), "NO ENCONTRADO"))))</f>
        <v>RODRIGUEZ FERNANDO EZEQUIEL</v>
      </c>
      <c r="E87" s="13" t="str">
        <f t="array" ref="E87">IF(C87="","",IFERROR(INDEX(PRODUCTORES!$D:$D, MATCH(C87, PRODUCTORES!$F:$F, 0)), IFERROR(INDEX(PRODUCTORES!$D:$D, MATCH(IF(ISNUMBER(SEARCH(" - ", C87)), LEFT(C87, SEARCH(" - ", C87) - 1), C87), PRODUCTORES!$A:$A, 0)), "-")))</f>
        <v>Sí</v>
      </c>
      <c r="F87" s="14" t="s">
        <v>70</v>
      </c>
      <c r="G87" s="15">
        <v>3.0</v>
      </c>
      <c r="H87" s="16"/>
    </row>
    <row r="88" ht="15.75" customHeight="1">
      <c r="A88" s="8" t="str">
        <f t="shared" si="1"/>
        <v>ENT-0023</v>
      </c>
      <c r="B88" s="9">
        <v>46279.0</v>
      </c>
      <c r="C88" s="10" t="s">
        <v>1247</v>
      </c>
      <c r="D88" s="12" t="str">
        <f t="array" ref="D88">IF(C88="","",IFERROR(INDEX(PRODUCTORES!$B:$B, MATCH(C88, PRODUCTORES!$F:$F, 0)) &amp; " " &amp; INDEX(PRODUCTORES!$C:$C, MATCH(C88, PRODUCTORES!$F:$F, 0)), IFERROR(INDEX(PRODUCTORES!$B:$B, MATCH(C88, PRODUCTORES!$A:$A, 0)) &amp; " " &amp; INDEX(PRODUCTORES!$C:$C, MATCH(C88, PRODUCTORES!$A:$A, 0)), IFERROR(TRIM(MID(C88, SEARCH(" - ", C88) + 3, 100)), "NO ENCONTRADO"))))</f>
        <v>RODRIGUEZ FERNANDO EZEQUIEL</v>
      </c>
      <c r="E88" s="13" t="str">
        <f t="array" ref="E88">IF(C88="","",IFERROR(INDEX(PRODUCTORES!$D:$D, MATCH(C88, PRODUCTORES!$F:$F, 0)), IFERROR(INDEX(PRODUCTORES!$D:$D, MATCH(IF(ISNUMBER(SEARCH(" - ", C88)), LEFT(C88, SEARCH(" - ", C88) - 1), C88), PRODUCTORES!$A:$A, 0)), "-")))</f>
        <v>Sí</v>
      </c>
      <c r="F88" s="14" t="s">
        <v>46</v>
      </c>
      <c r="G88" s="15">
        <v>1.0</v>
      </c>
      <c r="H88" s="16"/>
    </row>
    <row r="89" ht="15.75" customHeight="1">
      <c r="A89" s="8" t="str">
        <f t="shared" si="1"/>
        <v>ENT-0024</v>
      </c>
      <c r="B89" s="9">
        <v>46279.0</v>
      </c>
      <c r="C89" s="10" t="s">
        <v>1288</v>
      </c>
      <c r="D89" s="12" t="str">
        <f t="array" ref="D89">IF(C89="","",IFERROR(INDEX(PRODUCTORES!$B:$B, MATCH(C89, PRODUCTORES!$F:$F, 0)) &amp; " " &amp; INDEX(PRODUCTORES!$C:$C, MATCH(C89, PRODUCTORES!$F:$F, 0)), IFERROR(INDEX(PRODUCTORES!$B:$B, MATCH(C89, PRODUCTORES!$A:$A, 0)) &amp; " " &amp; INDEX(PRODUCTORES!$C:$C, MATCH(C89, PRODUCTORES!$A:$A, 0)), IFERROR(TRIM(MID(C89, SEARCH(" - ", C89) + 3, 100)), "NO ENCONTRADO"))))</f>
        <v>SANCHEZ MARIA TERESA</v>
      </c>
      <c r="E89" s="13" t="str">
        <f t="array" ref="E89">IF(C89="","",IFERROR(INDEX(PRODUCTORES!$D:$D, MATCH(C89, PRODUCTORES!$F:$F, 0)), IFERROR(INDEX(PRODUCTORES!$D:$D, MATCH(IF(ISNUMBER(SEARCH(" - ", C89)), LEFT(C89, SEARCH(" - ", C89) - 1), C89), PRODUCTORES!$A:$A, 0)), "-")))</f>
        <v>Sí</v>
      </c>
      <c r="F89" s="14" t="s">
        <v>58</v>
      </c>
      <c r="G89" s="15">
        <v>1.0</v>
      </c>
      <c r="H89" s="16"/>
    </row>
    <row r="90" ht="15.75" customHeight="1">
      <c r="A90" s="8" t="str">
        <f t="shared" si="1"/>
        <v>ENT-0024</v>
      </c>
      <c r="B90" s="9">
        <v>46279.0</v>
      </c>
      <c r="C90" s="10" t="s">
        <v>1288</v>
      </c>
      <c r="D90" s="12" t="str">
        <f t="array" ref="D90">IF(C90="","",IFERROR(INDEX(PRODUCTORES!$B:$B, MATCH(C90, PRODUCTORES!$F:$F, 0)) &amp; " " &amp; INDEX(PRODUCTORES!$C:$C, MATCH(C90, PRODUCTORES!$F:$F, 0)), IFERROR(INDEX(PRODUCTORES!$B:$B, MATCH(C90, PRODUCTORES!$A:$A, 0)) &amp; " " &amp; INDEX(PRODUCTORES!$C:$C, MATCH(C90, PRODUCTORES!$A:$A, 0)), IFERROR(TRIM(MID(C90, SEARCH(" - ", C90) + 3, 100)), "NO ENCONTRADO"))))</f>
        <v>SANCHEZ MARIA TERESA</v>
      </c>
      <c r="E90" s="13" t="str">
        <f t="array" ref="E90">IF(C90="","",IFERROR(INDEX(PRODUCTORES!$D:$D, MATCH(C90, PRODUCTORES!$F:$F, 0)), IFERROR(INDEX(PRODUCTORES!$D:$D, MATCH(IF(ISNUMBER(SEARCH(" - ", C90)), LEFT(C90, SEARCH(" - ", C90) - 1), C90), PRODUCTORES!$A:$A, 0)), "-")))</f>
        <v>Sí</v>
      </c>
      <c r="F90" s="14" t="s">
        <v>70</v>
      </c>
      <c r="G90" s="15">
        <v>1.0</v>
      </c>
      <c r="H90" s="16"/>
    </row>
    <row r="91" ht="15.75" customHeight="1">
      <c r="A91" s="8" t="str">
        <f t="shared" si="1"/>
        <v>ENT-0024</v>
      </c>
      <c r="B91" s="9">
        <v>46279.0</v>
      </c>
      <c r="C91" s="10" t="s">
        <v>1288</v>
      </c>
      <c r="D91" s="12" t="str">
        <f t="array" ref="D91">IF(C91="","",IFERROR(INDEX(PRODUCTORES!$B:$B, MATCH(C91, PRODUCTORES!$F:$F, 0)) &amp; " " &amp; INDEX(PRODUCTORES!$C:$C, MATCH(C91, PRODUCTORES!$F:$F, 0)), IFERROR(INDEX(PRODUCTORES!$B:$B, MATCH(C91, PRODUCTORES!$A:$A, 0)) &amp; " " &amp; INDEX(PRODUCTORES!$C:$C, MATCH(C91, PRODUCTORES!$A:$A, 0)), IFERROR(TRIM(MID(C91, SEARCH(" - ", C91) + 3, 100)), "NO ENCONTRADO"))))</f>
        <v>SANCHEZ MARIA TERESA</v>
      </c>
      <c r="E91" s="13" t="str">
        <f t="array" ref="E91">IF(C91="","",IFERROR(INDEX(PRODUCTORES!$D:$D, MATCH(C91, PRODUCTORES!$F:$F, 0)), IFERROR(INDEX(PRODUCTORES!$D:$D, MATCH(IF(ISNUMBER(SEARCH(" - ", C91)), LEFT(C91, SEARCH(" - ", C91) - 1), C91), PRODUCTORES!$A:$A, 0)), "-")))</f>
        <v>Sí</v>
      </c>
      <c r="F91" s="14" t="s">
        <v>11</v>
      </c>
      <c r="G91" s="15">
        <v>1.0</v>
      </c>
      <c r="H91" s="16"/>
    </row>
    <row r="92" ht="15.75" customHeight="1">
      <c r="A92" s="8" t="str">
        <f t="shared" si="1"/>
        <v>ENT-0024</v>
      </c>
      <c r="B92" s="9">
        <v>46279.0</v>
      </c>
      <c r="C92" s="10" t="s">
        <v>1288</v>
      </c>
      <c r="D92" s="12" t="str">
        <f t="array" ref="D92">IF(C92="","",IFERROR(INDEX(PRODUCTORES!$B:$B, MATCH(C92, PRODUCTORES!$F:$F, 0)) &amp; " " &amp; INDEX(PRODUCTORES!$C:$C, MATCH(C92, PRODUCTORES!$F:$F, 0)), IFERROR(INDEX(PRODUCTORES!$B:$B, MATCH(C92, PRODUCTORES!$A:$A, 0)) &amp; " " &amp; INDEX(PRODUCTORES!$C:$C, MATCH(C92, PRODUCTORES!$A:$A, 0)), IFERROR(TRIM(MID(C92, SEARCH(" - ", C92) + 3, 100)), "NO ENCONTRADO"))))</f>
        <v>SANCHEZ MARIA TERESA</v>
      </c>
      <c r="E92" s="13" t="str">
        <f t="array" ref="E92">IF(C92="","",IFERROR(INDEX(PRODUCTORES!$D:$D, MATCH(C92, PRODUCTORES!$F:$F, 0)), IFERROR(INDEX(PRODUCTORES!$D:$D, MATCH(IF(ISNUMBER(SEARCH(" - ", C92)), LEFT(C92, SEARCH(" - ", C92) - 1), C92), PRODUCTORES!$A:$A, 0)), "-")))</f>
        <v>Sí</v>
      </c>
      <c r="F92" s="14" t="s">
        <v>46</v>
      </c>
      <c r="G92" s="15">
        <v>1.0</v>
      </c>
      <c r="H92" s="16"/>
    </row>
    <row r="93" ht="15.75" customHeight="1">
      <c r="A93" s="8" t="str">
        <f t="shared" si="1"/>
        <v>ENT-0024</v>
      </c>
      <c r="B93" s="9">
        <v>46279.0</v>
      </c>
      <c r="C93" s="10" t="s">
        <v>1288</v>
      </c>
      <c r="D93" s="12" t="str">
        <f t="array" ref="D93">IF(C93="","",IFERROR(INDEX(PRODUCTORES!$B:$B, MATCH(C93, PRODUCTORES!$F:$F, 0)) &amp; " " &amp; INDEX(PRODUCTORES!$C:$C, MATCH(C93, PRODUCTORES!$F:$F, 0)), IFERROR(INDEX(PRODUCTORES!$B:$B, MATCH(C93, PRODUCTORES!$A:$A, 0)) &amp; " " &amp; INDEX(PRODUCTORES!$C:$C, MATCH(C93, PRODUCTORES!$A:$A, 0)), IFERROR(TRIM(MID(C93, SEARCH(" - ", C93) + 3, 100)), "NO ENCONTRADO"))))</f>
        <v>SANCHEZ MARIA TERESA</v>
      </c>
      <c r="E93" s="13" t="str">
        <f t="array" ref="E93">IF(C93="","",IFERROR(INDEX(PRODUCTORES!$D:$D, MATCH(C93, PRODUCTORES!$F:$F, 0)), IFERROR(INDEX(PRODUCTORES!$D:$D, MATCH(IF(ISNUMBER(SEARCH(" - ", C93)), LEFT(C93, SEARCH(" - ", C93) - 1), C93), PRODUCTORES!$A:$A, 0)), "-")))</f>
        <v>Sí</v>
      </c>
      <c r="F93" s="14" t="s">
        <v>50</v>
      </c>
      <c r="G93" s="15">
        <v>1.0</v>
      </c>
      <c r="H93" s="16"/>
    </row>
    <row r="94" ht="15.75" customHeight="1">
      <c r="A94" s="8" t="str">
        <f t="shared" si="1"/>
        <v>ENT-0025</v>
      </c>
      <c r="B94" s="9">
        <v>46279.0</v>
      </c>
      <c r="C94" s="10" t="s">
        <v>1301</v>
      </c>
      <c r="D94" s="12" t="str">
        <f t="array" ref="D94">IF(C94="","",IFERROR(INDEX(PRODUCTORES!$B:$B, MATCH(C94, PRODUCTORES!$F:$F, 0)) &amp; " " &amp; INDEX(PRODUCTORES!$C:$C, MATCH(C94, PRODUCTORES!$F:$F, 0)), IFERROR(INDEX(PRODUCTORES!$B:$B, MATCH(C94, PRODUCTORES!$A:$A, 0)) &amp; " " &amp; INDEX(PRODUCTORES!$C:$C, MATCH(C94, PRODUCTORES!$A:$A, 0)), IFERROR(TRIM(MID(C94, SEARCH(" - ", C94) + 3, 100)), "NO ENCONTRADO"))))</f>
        <v>SANTILLAN JUAN ANGEL</v>
      </c>
      <c r="E94" s="13" t="str">
        <f t="array" ref="E94">IF(C94="","",IFERROR(INDEX(PRODUCTORES!$D:$D, MATCH(C94, PRODUCTORES!$F:$F, 0)), IFERROR(INDEX(PRODUCTORES!$D:$D, MATCH(IF(ISNUMBER(SEARCH(" - ", C94)), LEFT(C94, SEARCH(" - ", C94) - 1), C94), PRODUCTORES!$A:$A, 0)), "-")))</f>
        <v>Sí</v>
      </c>
      <c r="F94" s="14" t="s">
        <v>58</v>
      </c>
      <c r="G94" s="15">
        <v>4.0</v>
      </c>
      <c r="H94" s="16"/>
    </row>
    <row r="95" ht="15.75" customHeight="1">
      <c r="A95" s="8" t="str">
        <f t="shared" si="1"/>
        <v>ENT-0025</v>
      </c>
      <c r="B95" s="9">
        <v>46279.0</v>
      </c>
      <c r="C95" s="10" t="s">
        <v>1301</v>
      </c>
      <c r="D95" s="12" t="str">
        <f t="array" ref="D95">IF(C95="","",IFERROR(INDEX(PRODUCTORES!$B:$B, MATCH(C95, PRODUCTORES!$F:$F, 0)) &amp; " " &amp; INDEX(PRODUCTORES!$C:$C, MATCH(C95, PRODUCTORES!$F:$F, 0)), IFERROR(INDEX(PRODUCTORES!$B:$B, MATCH(C95, PRODUCTORES!$A:$A, 0)) &amp; " " &amp; INDEX(PRODUCTORES!$C:$C, MATCH(C95, PRODUCTORES!$A:$A, 0)), IFERROR(TRIM(MID(C95, SEARCH(" - ", C95) + 3, 100)), "NO ENCONTRADO"))))</f>
        <v>SANTILLAN JUAN ANGEL</v>
      </c>
      <c r="E95" s="13" t="str">
        <f t="array" ref="E95">IF(C95="","",IFERROR(INDEX(PRODUCTORES!$D:$D, MATCH(C95, PRODUCTORES!$F:$F, 0)), IFERROR(INDEX(PRODUCTORES!$D:$D, MATCH(IF(ISNUMBER(SEARCH(" - ", C95)), LEFT(C95, SEARCH(" - ", C95) - 1), C95), PRODUCTORES!$A:$A, 0)), "-")))</f>
        <v>Sí</v>
      </c>
      <c r="F95" s="14" t="s">
        <v>11</v>
      </c>
      <c r="G95" s="15">
        <v>3.0</v>
      </c>
      <c r="H95" s="16"/>
    </row>
    <row r="96" ht="15.75" customHeight="1">
      <c r="A96" s="8" t="str">
        <f t="shared" si="1"/>
        <v>ENT-0025</v>
      </c>
      <c r="B96" s="9">
        <v>46279.0</v>
      </c>
      <c r="C96" s="10" t="s">
        <v>1301</v>
      </c>
      <c r="D96" s="12" t="str">
        <f t="array" ref="D96">IF(C96="","",IFERROR(INDEX(PRODUCTORES!$B:$B, MATCH(C96, PRODUCTORES!$F:$F, 0)) &amp; " " &amp; INDEX(PRODUCTORES!$C:$C, MATCH(C96, PRODUCTORES!$F:$F, 0)), IFERROR(INDEX(PRODUCTORES!$B:$B, MATCH(C96, PRODUCTORES!$A:$A, 0)) &amp; " " &amp; INDEX(PRODUCTORES!$C:$C, MATCH(C96, PRODUCTORES!$A:$A, 0)), IFERROR(TRIM(MID(C96, SEARCH(" - ", C96) + 3, 100)), "NO ENCONTRADO"))))</f>
        <v>SANTILLAN JUAN ANGEL</v>
      </c>
      <c r="E96" s="13" t="str">
        <f t="array" ref="E96">IF(C96="","",IFERROR(INDEX(PRODUCTORES!$D:$D, MATCH(C96, PRODUCTORES!$F:$F, 0)), IFERROR(INDEX(PRODUCTORES!$D:$D, MATCH(IF(ISNUMBER(SEARCH(" - ", C96)), LEFT(C96, SEARCH(" - ", C96) - 1), C96), PRODUCTORES!$A:$A, 0)), "-")))</f>
        <v>Sí</v>
      </c>
      <c r="F96" s="14" t="s">
        <v>81</v>
      </c>
      <c r="G96" s="15">
        <v>1.0</v>
      </c>
      <c r="H96" s="16"/>
    </row>
    <row r="97" ht="15.75" customHeight="1">
      <c r="A97" s="8" t="str">
        <f t="shared" si="1"/>
        <v>ENT-0025</v>
      </c>
      <c r="B97" s="9">
        <v>46279.0</v>
      </c>
      <c r="C97" s="10" t="s">
        <v>1301</v>
      </c>
      <c r="D97" s="12" t="str">
        <f t="array" ref="D97">IF(C97="","",IFERROR(INDEX(PRODUCTORES!$B:$B, MATCH(C97, PRODUCTORES!$F:$F, 0)) &amp; " " &amp; INDEX(PRODUCTORES!$C:$C, MATCH(C97, PRODUCTORES!$F:$F, 0)), IFERROR(INDEX(PRODUCTORES!$B:$B, MATCH(C97, PRODUCTORES!$A:$A, 0)) &amp; " " &amp; INDEX(PRODUCTORES!$C:$C, MATCH(C97, PRODUCTORES!$A:$A, 0)), IFERROR(TRIM(MID(C97, SEARCH(" - ", C97) + 3, 100)), "NO ENCONTRADO"))))</f>
        <v>SANTILLAN JUAN ANGEL</v>
      </c>
      <c r="E97" s="13" t="str">
        <f t="array" ref="E97">IF(C97="","",IFERROR(INDEX(PRODUCTORES!$D:$D, MATCH(C97, PRODUCTORES!$F:$F, 0)), IFERROR(INDEX(PRODUCTORES!$D:$D, MATCH(IF(ISNUMBER(SEARCH(" - ", C97)), LEFT(C97, SEARCH(" - ", C97) - 1), C97), PRODUCTORES!$A:$A, 0)), "-")))</f>
        <v>Sí</v>
      </c>
      <c r="F97" s="14" t="s">
        <v>46</v>
      </c>
      <c r="G97" s="15">
        <v>1.0</v>
      </c>
      <c r="H97" s="16"/>
    </row>
    <row r="98" ht="15.75" customHeight="1">
      <c r="A98" s="8" t="str">
        <f t="shared" si="1"/>
        <v>ENT-0025</v>
      </c>
      <c r="B98" s="9">
        <v>46279.0</v>
      </c>
      <c r="C98" s="10" t="s">
        <v>1301</v>
      </c>
      <c r="D98" s="12" t="str">
        <f t="array" ref="D98">IF(C98="","",IFERROR(INDEX(PRODUCTORES!$B:$B, MATCH(C98, PRODUCTORES!$F:$F, 0)) &amp; " " &amp; INDEX(PRODUCTORES!$C:$C, MATCH(C98, PRODUCTORES!$F:$F, 0)), IFERROR(INDEX(PRODUCTORES!$B:$B, MATCH(C98, PRODUCTORES!$A:$A, 0)) &amp; " " &amp; INDEX(PRODUCTORES!$C:$C, MATCH(C98, PRODUCTORES!$A:$A, 0)), IFERROR(TRIM(MID(C98, SEARCH(" - ", C98) + 3, 100)), "NO ENCONTRADO"))))</f>
        <v>SANTILLAN JUAN ANGEL</v>
      </c>
      <c r="E98" s="13" t="str">
        <f t="array" ref="E98">IF(C98="","",IFERROR(INDEX(PRODUCTORES!$D:$D, MATCH(C98, PRODUCTORES!$F:$F, 0)), IFERROR(INDEX(PRODUCTORES!$D:$D, MATCH(IF(ISNUMBER(SEARCH(" - ", C98)), LEFT(C98, SEARCH(" - ", C98) - 1), C98), PRODUCTORES!$A:$A, 0)), "-")))</f>
        <v>Sí</v>
      </c>
      <c r="F98" s="14" t="s">
        <v>70</v>
      </c>
      <c r="G98" s="15">
        <v>2.0</v>
      </c>
      <c r="H98" s="16"/>
    </row>
    <row r="99" ht="15.75" customHeight="1">
      <c r="A99" s="8" t="str">
        <f t="shared" si="1"/>
        <v>ENT-0025</v>
      </c>
      <c r="B99" s="9">
        <v>46279.0</v>
      </c>
      <c r="C99" s="10" t="s">
        <v>1301</v>
      </c>
      <c r="D99" s="12" t="str">
        <f t="array" ref="D99">IF(C99="","",IFERROR(INDEX(PRODUCTORES!$B:$B, MATCH(C99, PRODUCTORES!$F:$F, 0)) &amp; " " &amp; INDEX(PRODUCTORES!$C:$C, MATCH(C99, PRODUCTORES!$F:$F, 0)), IFERROR(INDEX(PRODUCTORES!$B:$B, MATCH(C99, PRODUCTORES!$A:$A, 0)) &amp; " " &amp; INDEX(PRODUCTORES!$C:$C, MATCH(C99, PRODUCTORES!$A:$A, 0)), IFERROR(TRIM(MID(C99, SEARCH(" - ", C99) + 3, 100)), "NO ENCONTRADO"))))</f>
        <v>SANTILLAN JUAN ANGEL</v>
      </c>
      <c r="E99" s="13" t="str">
        <f t="array" ref="E99">IF(C99="","",IFERROR(INDEX(PRODUCTORES!$D:$D, MATCH(C99, PRODUCTORES!$F:$F, 0)), IFERROR(INDEX(PRODUCTORES!$D:$D, MATCH(IF(ISNUMBER(SEARCH(" - ", C99)), LEFT(C99, SEARCH(" - ", C99) - 1), C99), PRODUCTORES!$A:$A, 0)), "-")))</f>
        <v>Sí</v>
      </c>
      <c r="F99" s="14" t="s">
        <v>50</v>
      </c>
      <c r="G99" s="15">
        <v>1.0</v>
      </c>
      <c r="H99" s="16"/>
    </row>
    <row r="100" ht="15.75" customHeight="1">
      <c r="A100" s="8" t="str">
        <f t="shared" si="1"/>
        <v>ENT-0026</v>
      </c>
      <c r="B100" s="9">
        <v>46279.0</v>
      </c>
      <c r="C100" s="10" t="s">
        <v>1309</v>
      </c>
      <c r="D100" s="12" t="str">
        <f t="array" ref="D100">IF(C100="","",IFERROR(INDEX(PRODUCTORES!$B:$B, MATCH(C100, PRODUCTORES!$F:$F, 0)) &amp; " " &amp; INDEX(PRODUCTORES!$C:$C, MATCH(C100, PRODUCTORES!$F:$F, 0)), IFERROR(INDEX(PRODUCTORES!$B:$B, MATCH(C100, PRODUCTORES!$A:$A, 0)) &amp; " " &amp; INDEX(PRODUCTORES!$C:$C, MATCH(C100, PRODUCTORES!$A:$A, 0)), IFERROR(TRIM(MID(C100, SEARCH(" - ", C100) + 3, 100)), "NO ENCONTRADO"))))</f>
        <v>SEGOVIA MARTINEZ SARA</v>
      </c>
      <c r="E100" s="13" t="str">
        <f t="array" ref="E100">IF(C100="","",IFERROR(INDEX(PRODUCTORES!$D:$D, MATCH(C100, PRODUCTORES!$F:$F, 0)), IFERROR(INDEX(PRODUCTORES!$D:$D, MATCH(IF(ISNUMBER(SEARCH(" - ", C100)), LEFT(C100, SEARCH(" - ", C100) - 1), C100), PRODUCTORES!$A:$A, 0)), "-")))</f>
        <v>Sí</v>
      </c>
      <c r="F100" s="14" t="s">
        <v>58</v>
      </c>
      <c r="G100" s="15">
        <v>6.0</v>
      </c>
      <c r="H100" s="16"/>
    </row>
    <row r="101" ht="15.75" customHeight="1">
      <c r="A101" s="8" t="str">
        <f t="shared" si="1"/>
        <v>ENT-0026</v>
      </c>
      <c r="B101" s="9">
        <v>46279.0</v>
      </c>
      <c r="C101" s="10" t="s">
        <v>1309</v>
      </c>
      <c r="D101" s="12" t="str">
        <f t="array" ref="D101">IF(C101="","",IFERROR(INDEX(PRODUCTORES!$B:$B, MATCH(C101, PRODUCTORES!$F:$F, 0)) &amp; " " &amp; INDEX(PRODUCTORES!$C:$C, MATCH(C101, PRODUCTORES!$F:$F, 0)), IFERROR(INDEX(PRODUCTORES!$B:$B, MATCH(C101, PRODUCTORES!$A:$A, 0)) &amp; " " &amp; INDEX(PRODUCTORES!$C:$C, MATCH(C101, PRODUCTORES!$A:$A, 0)), IFERROR(TRIM(MID(C101, SEARCH(" - ", C101) + 3, 100)), "NO ENCONTRADO"))))</f>
        <v>SEGOVIA MARTINEZ SARA</v>
      </c>
      <c r="E101" s="13" t="str">
        <f t="array" ref="E101">IF(C101="","",IFERROR(INDEX(PRODUCTORES!$D:$D, MATCH(C101, PRODUCTORES!$F:$F, 0)), IFERROR(INDEX(PRODUCTORES!$D:$D, MATCH(IF(ISNUMBER(SEARCH(" - ", C101)), LEFT(C101, SEARCH(" - ", C101) - 1), C101), PRODUCTORES!$A:$A, 0)), "-")))</f>
        <v>Sí</v>
      </c>
      <c r="F101" s="14" t="s">
        <v>70</v>
      </c>
      <c r="G101" s="15">
        <v>4.0</v>
      </c>
      <c r="H101" s="16"/>
    </row>
    <row r="102" ht="15.75" customHeight="1">
      <c r="A102" s="8" t="str">
        <f t="shared" si="1"/>
        <v>ENT-0026</v>
      </c>
      <c r="B102" s="9">
        <v>46279.0</v>
      </c>
      <c r="C102" s="10" t="s">
        <v>1309</v>
      </c>
      <c r="D102" s="12" t="str">
        <f t="array" ref="D102">IF(C102="","",IFERROR(INDEX(PRODUCTORES!$B:$B, MATCH(C102, PRODUCTORES!$F:$F, 0)) &amp; " " &amp; INDEX(PRODUCTORES!$C:$C, MATCH(C102, PRODUCTORES!$F:$F, 0)), IFERROR(INDEX(PRODUCTORES!$B:$B, MATCH(C102, PRODUCTORES!$A:$A, 0)) &amp; " " &amp; INDEX(PRODUCTORES!$C:$C, MATCH(C102, PRODUCTORES!$A:$A, 0)), IFERROR(TRIM(MID(C102, SEARCH(" - ", C102) + 3, 100)), "NO ENCONTRADO"))))</f>
        <v>SEGOVIA MARTINEZ SARA</v>
      </c>
      <c r="E102" s="13" t="str">
        <f t="array" ref="E102">IF(C102="","",IFERROR(INDEX(PRODUCTORES!$D:$D, MATCH(C102, PRODUCTORES!$F:$F, 0)), IFERROR(INDEX(PRODUCTORES!$D:$D, MATCH(IF(ISNUMBER(SEARCH(" - ", C102)), LEFT(C102, SEARCH(" - ", C102) - 1), C102), PRODUCTORES!$A:$A, 0)), "-")))</f>
        <v>Sí</v>
      </c>
      <c r="F102" s="14" t="s">
        <v>50</v>
      </c>
      <c r="G102" s="15">
        <v>1.0</v>
      </c>
      <c r="H102" s="16"/>
    </row>
    <row r="103" ht="15.75" customHeight="1">
      <c r="A103" s="8" t="str">
        <f t="shared" si="1"/>
        <v>ENT-0026</v>
      </c>
      <c r="B103" s="9">
        <v>46279.0</v>
      </c>
      <c r="C103" s="10" t="s">
        <v>1309</v>
      </c>
      <c r="D103" s="12" t="str">
        <f t="array" ref="D103">IF(C103="","",IFERROR(INDEX(PRODUCTORES!$B:$B, MATCH(C103, PRODUCTORES!$F:$F, 0)) &amp; " " &amp; INDEX(PRODUCTORES!$C:$C, MATCH(C103, PRODUCTORES!$F:$F, 0)), IFERROR(INDEX(PRODUCTORES!$B:$B, MATCH(C103, PRODUCTORES!$A:$A, 0)) &amp; " " &amp; INDEX(PRODUCTORES!$C:$C, MATCH(C103, PRODUCTORES!$A:$A, 0)), IFERROR(TRIM(MID(C103, SEARCH(" - ", C103) + 3, 100)), "NO ENCONTRADO"))))</f>
        <v>SEGOVIA MARTINEZ SARA</v>
      </c>
      <c r="E103" s="13" t="str">
        <f t="array" ref="E103">IF(C103="","",IFERROR(INDEX(PRODUCTORES!$D:$D, MATCH(C103, PRODUCTORES!$F:$F, 0)), IFERROR(INDEX(PRODUCTORES!$D:$D, MATCH(IF(ISNUMBER(SEARCH(" - ", C103)), LEFT(C103, SEARCH(" - ", C103) - 1), C103), PRODUCTORES!$A:$A, 0)), "-")))</f>
        <v>Sí</v>
      </c>
      <c r="F103" s="14" t="s">
        <v>46</v>
      </c>
      <c r="G103" s="15">
        <v>4.0</v>
      </c>
      <c r="H103" s="16"/>
    </row>
    <row r="104" ht="15.75" customHeight="1">
      <c r="A104" s="8" t="str">
        <f t="shared" si="1"/>
        <v>ENT-0027</v>
      </c>
      <c r="B104" s="9">
        <v>46279.0</v>
      </c>
      <c r="C104" s="10" t="s">
        <v>1397</v>
      </c>
      <c r="D104" s="12" t="str">
        <f t="array" ref="D104">IF(C104="","",IFERROR(INDEX(PRODUCTORES!$B:$B, MATCH(C104, PRODUCTORES!$F:$F, 0)) &amp; " " &amp; INDEX(PRODUCTORES!$C:$C, MATCH(C104, PRODUCTORES!$F:$F, 0)), IFERROR(INDEX(PRODUCTORES!$B:$B, MATCH(C104, PRODUCTORES!$A:$A, 0)) &amp; " " &amp; INDEX(PRODUCTORES!$C:$C, MATCH(C104, PRODUCTORES!$A:$A, 0)), IFERROR(TRIM(MID(C104, SEARCH(" - ", C104) + 3, 100)), "NO ENCONTRADO"))))</f>
        <v>VARGAS JESUS GUILLERMO</v>
      </c>
      <c r="E104" s="13" t="str">
        <f t="array" ref="E104">IF(C104="","",IFERROR(INDEX(PRODUCTORES!$D:$D, MATCH(C104, PRODUCTORES!$F:$F, 0)), IFERROR(INDEX(PRODUCTORES!$D:$D, MATCH(IF(ISNUMBER(SEARCH(" - ", C104)), LEFT(C104, SEARCH(" - ", C104) - 1), C104), PRODUCTORES!$A:$A, 0)), "-")))</f>
        <v>Sí</v>
      </c>
      <c r="F104" s="14" t="s">
        <v>58</v>
      </c>
      <c r="G104" s="15">
        <v>5.0</v>
      </c>
      <c r="H104" s="16"/>
    </row>
    <row r="105" ht="15.75" customHeight="1">
      <c r="A105" s="8" t="str">
        <f t="shared" si="1"/>
        <v>ENT-0027</v>
      </c>
      <c r="B105" s="9">
        <v>46279.0</v>
      </c>
      <c r="C105" s="10" t="s">
        <v>1397</v>
      </c>
      <c r="D105" s="12" t="str">
        <f t="array" ref="D105">IF(C105="","",IFERROR(INDEX(PRODUCTORES!$B:$B, MATCH(C105, PRODUCTORES!$F:$F, 0)) &amp; " " &amp; INDEX(PRODUCTORES!$C:$C, MATCH(C105, PRODUCTORES!$F:$F, 0)), IFERROR(INDEX(PRODUCTORES!$B:$B, MATCH(C105, PRODUCTORES!$A:$A, 0)) &amp; " " &amp; INDEX(PRODUCTORES!$C:$C, MATCH(C105, PRODUCTORES!$A:$A, 0)), IFERROR(TRIM(MID(C105, SEARCH(" - ", C105) + 3, 100)), "NO ENCONTRADO"))))</f>
        <v>VARGAS JESUS GUILLERMO</v>
      </c>
      <c r="E105" s="13" t="str">
        <f t="array" ref="E105">IF(C105="","",IFERROR(INDEX(PRODUCTORES!$D:$D, MATCH(C105, PRODUCTORES!$F:$F, 0)), IFERROR(INDEX(PRODUCTORES!$D:$D, MATCH(IF(ISNUMBER(SEARCH(" - ", C105)), LEFT(C105, SEARCH(" - ", C105) - 1), C105), PRODUCTORES!$A:$A, 0)), "-")))</f>
        <v>Sí</v>
      </c>
      <c r="F105" s="14" t="s">
        <v>46</v>
      </c>
      <c r="G105" s="15">
        <v>1.0</v>
      </c>
      <c r="H105" s="16"/>
    </row>
    <row r="106" ht="15.75" customHeight="1">
      <c r="A106" s="8" t="str">
        <f t="shared" si="1"/>
        <v>ENT-0027</v>
      </c>
      <c r="B106" s="9">
        <v>46279.0</v>
      </c>
      <c r="C106" s="10" t="s">
        <v>1397</v>
      </c>
      <c r="D106" s="12" t="str">
        <f t="array" ref="D106">IF(C106="","",IFERROR(INDEX(PRODUCTORES!$B:$B, MATCH(C106, PRODUCTORES!$F:$F, 0)) &amp; " " &amp; INDEX(PRODUCTORES!$C:$C, MATCH(C106, PRODUCTORES!$F:$F, 0)), IFERROR(INDEX(PRODUCTORES!$B:$B, MATCH(C106, PRODUCTORES!$A:$A, 0)) &amp; " " &amp; INDEX(PRODUCTORES!$C:$C, MATCH(C106, PRODUCTORES!$A:$A, 0)), IFERROR(TRIM(MID(C106, SEARCH(" - ", C106) + 3, 100)), "NO ENCONTRADO"))))</f>
        <v>VARGAS JESUS GUILLERMO</v>
      </c>
      <c r="E106" s="13" t="str">
        <f t="array" ref="E106">IF(C106="","",IFERROR(INDEX(PRODUCTORES!$D:$D, MATCH(C106, PRODUCTORES!$F:$F, 0)), IFERROR(INDEX(PRODUCTORES!$D:$D, MATCH(IF(ISNUMBER(SEARCH(" - ", C106)), LEFT(C106, SEARCH(" - ", C106) - 1), C106), PRODUCTORES!$A:$A, 0)), "-")))</f>
        <v>Sí</v>
      </c>
      <c r="F106" s="14" t="s">
        <v>50</v>
      </c>
      <c r="G106" s="15">
        <v>1.0</v>
      </c>
      <c r="H106" s="16"/>
    </row>
    <row r="107" ht="15.75" customHeight="1">
      <c r="A107" s="8" t="str">
        <f t="shared" si="1"/>
        <v>ENT-0027</v>
      </c>
      <c r="B107" s="9">
        <v>46279.0</v>
      </c>
      <c r="C107" s="10" t="s">
        <v>1397</v>
      </c>
      <c r="D107" s="12" t="str">
        <f t="array" ref="D107">IF(C107="","",IFERROR(INDEX(PRODUCTORES!$B:$B, MATCH(C107, PRODUCTORES!$F:$F, 0)) &amp; " " &amp; INDEX(PRODUCTORES!$C:$C, MATCH(C107, PRODUCTORES!$F:$F, 0)), IFERROR(INDEX(PRODUCTORES!$B:$B, MATCH(C107, PRODUCTORES!$A:$A, 0)) &amp; " " &amp; INDEX(PRODUCTORES!$C:$C, MATCH(C107, PRODUCTORES!$A:$A, 0)), IFERROR(TRIM(MID(C107, SEARCH(" - ", C107) + 3, 100)), "NO ENCONTRADO"))))</f>
        <v>VARGAS JESUS GUILLERMO</v>
      </c>
      <c r="E107" s="13" t="str">
        <f t="array" ref="E107">IF(C107="","",IFERROR(INDEX(PRODUCTORES!$D:$D, MATCH(C107, PRODUCTORES!$F:$F, 0)), IFERROR(INDEX(PRODUCTORES!$D:$D, MATCH(IF(ISNUMBER(SEARCH(" - ", C107)), LEFT(C107, SEARCH(" - ", C107) - 1), C107), PRODUCTORES!$A:$A, 0)), "-")))</f>
        <v>Sí</v>
      </c>
      <c r="F107" s="14" t="s">
        <v>78</v>
      </c>
      <c r="G107" s="15">
        <v>1.0</v>
      </c>
      <c r="H107" s="16"/>
    </row>
    <row r="108" ht="15.75" customHeight="1">
      <c r="A108" s="8" t="str">
        <f t="shared" si="1"/>
        <v>ENT-0028</v>
      </c>
      <c r="B108" s="9">
        <v>46279.0</v>
      </c>
      <c r="C108" s="10" t="s">
        <v>424</v>
      </c>
      <c r="D108" s="12" t="str">
        <f t="array" ref="D108">IF(C108="","",IFERROR(INDEX(PRODUCTORES!$B:$B, MATCH(C108, PRODUCTORES!$F:$F, 0)) &amp; " " &amp; INDEX(PRODUCTORES!$C:$C, MATCH(C108, PRODUCTORES!$F:$F, 0)), IFERROR(INDEX(PRODUCTORES!$B:$B, MATCH(C108, PRODUCTORES!$A:$A, 0)) &amp; " " &amp; INDEX(PRODUCTORES!$C:$C, MATCH(C108, PRODUCTORES!$A:$A, 0)), IFERROR(TRIM(MID(C108, SEARCH(" - ", C108) + 3, 100)), "NO ENCONTRADO"))))</f>
        <v>VERATEGUA VERA CARLOS RENE</v>
      </c>
      <c r="E108" s="13" t="str">
        <f t="array" ref="E108">IF(C108="","",IFERROR(INDEX(PRODUCTORES!$D:$D, MATCH(C108, PRODUCTORES!$F:$F, 0)), IFERROR(INDEX(PRODUCTORES!$D:$D, MATCH(IF(ISNUMBER(SEARCH(" - ", C108)), LEFT(C108, SEARCH(" - ", C108) - 1), C108), PRODUCTORES!$A:$A, 0)), "-")))</f>
        <v>Sí</v>
      </c>
      <c r="F108" s="14" t="s">
        <v>58</v>
      </c>
      <c r="G108" s="15">
        <v>1.0</v>
      </c>
      <c r="H108" s="16"/>
    </row>
    <row r="109" ht="15.75" customHeight="1">
      <c r="A109" s="8" t="str">
        <f t="shared" si="1"/>
        <v>ENT-0028</v>
      </c>
      <c r="B109" s="9">
        <v>46279.0</v>
      </c>
      <c r="C109" s="10" t="s">
        <v>424</v>
      </c>
      <c r="D109" s="12" t="str">
        <f t="array" ref="D109">IF(C109="","",IFERROR(INDEX(PRODUCTORES!$B:$B, MATCH(C109, PRODUCTORES!$F:$F, 0)) &amp; " " &amp; INDEX(PRODUCTORES!$C:$C, MATCH(C109, PRODUCTORES!$F:$F, 0)), IFERROR(INDEX(PRODUCTORES!$B:$B, MATCH(C109, PRODUCTORES!$A:$A, 0)) &amp; " " &amp; INDEX(PRODUCTORES!$C:$C, MATCH(C109, PRODUCTORES!$A:$A, 0)), IFERROR(TRIM(MID(C109, SEARCH(" - ", C109) + 3, 100)), "NO ENCONTRADO"))))</f>
        <v>VERATEGUA VERA CARLOS RENE</v>
      </c>
      <c r="E109" s="13" t="str">
        <f t="array" ref="E109">IF(C109="","",IFERROR(INDEX(PRODUCTORES!$D:$D, MATCH(C109, PRODUCTORES!$F:$F, 0)), IFERROR(INDEX(PRODUCTORES!$D:$D, MATCH(IF(ISNUMBER(SEARCH(" - ", C109)), LEFT(C109, SEARCH(" - ", C109) - 1), C109), PRODUCTORES!$A:$A, 0)), "-")))</f>
        <v>Sí</v>
      </c>
      <c r="F109" s="14" t="s">
        <v>11</v>
      </c>
      <c r="G109" s="15">
        <v>1.0</v>
      </c>
      <c r="H109" s="16"/>
    </row>
    <row r="110" ht="15.75" customHeight="1">
      <c r="A110" s="8" t="str">
        <f t="shared" si="1"/>
        <v>ENT-0029</v>
      </c>
      <c r="B110" s="9">
        <v>46279.0</v>
      </c>
      <c r="C110" s="10" t="s">
        <v>819</v>
      </c>
      <c r="D110" s="12" t="str">
        <f t="array" ref="D110">IF(C110="","",IFERROR(INDEX(PRODUCTORES!$B:$B, MATCH(C110, PRODUCTORES!$F:$F, 0)) &amp; " " &amp; INDEX(PRODUCTORES!$C:$C, MATCH(C110, PRODUCTORES!$F:$F, 0)), IFERROR(INDEX(PRODUCTORES!$B:$B, MATCH(C110, PRODUCTORES!$A:$A, 0)) &amp; " " &amp; INDEX(PRODUCTORES!$C:$C, MATCH(C110, PRODUCTORES!$A:$A, 0)), IFERROR(TRIM(MID(C110, SEARCH(" - ", C110) + 3, 100)), "NO ENCONTRADO"))))</f>
        <v>VILLANUEVA VILLANUEVA JACQUELINE</v>
      </c>
      <c r="E110" s="13" t="str">
        <f t="array" ref="E110">IF(C110="","",IFERROR(INDEX(PRODUCTORES!$D:$D, MATCH(C110, PRODUCTORES!$F:$F, 0)), IFERROR(INDEX(PRODUCTORES!$D:$D, MATCH(IF(ISNUMBER(SEARCH(" - ", C110)), LEFT(C110, SEARCH(" - ", C110) - 1), C110), PRODUCTORES!$A:$A, 0)), "-")))</f>
        <v>Sí</v>
      </c>
      <c r="F110" s="14" t="s">
        <v>58</v>
      </c>
      <c r="G110" s="15">
        <v>2.0</v>
      </c>
      <c r="H110" s="16"/>
    </row>
    <row r="111" ht="15.75" customHeight="1">
      <c r="A111" s="8" t="str">
        <f t="shared" si="1"/>
        <v>ENT-0029</v>
      </c>
      <c r="B111" s="9">
        <v>46279.0</v>
      </c>
      <c r="C111" s="10" t="s">
        <v>819</v>
      </c>
      <c r="D111" s="12" t="str">
        <f t="array" ref="D111">IF(C111="","",IFERROR(INDEX(PRODUCTORES!$B:$B, MATCH(C111, PRODUCTORES!$F:$F, 0)) &amp; " " &amp; INDEX(PRODUCTORES!$C:$C, MATCH(C111, PRODUCTORES!$F:$F, 0)), IFERROR(INDEX(PRODUCTORES!$B:$B, MATCH(C111, PRODUCTORES!$A:$A, 0)) &amp; " " &amp; INDEX(PRODUCTORES!$C:$C, MATCH(C111, PRODUCTORES!$A:$A, 0)), IFERROR(TRIM(MID(C111, SEARCH(" - ", C111) + 3, 100)), "NO ENCONTRADO"))))</f>
        <v>VILLANUEVA VILLANUEVA JACQUELINE</v>
      </c>
      <c r="E111" s="13" t="str">
        <f t="array" ref="E111">IF(C111="","",IFERROR(INDEX(PRODUCTORES!$D:$D, MATCH(C111, PRODUCTORES!$F:$F, 0)), IFERROR(INDEX(PRODUCTORES!$D:$D, MATCH(IF(ISNUMBER(SEARCH(" - ", C111)), LEFT(C111, SEARCH(" - ", C111) - 1), C111), PRODUCTORES!$A:$A, 0)), "-")))</f>
        <v>Sí</v>
      </c>
      <c r="F111" s="14" t="s">
        <v>11</v>
      </c>
      <c r="G111" s="15">
        <v>1.0</v>
      </c>
      <c r="H111" s="16"/>
    </row>
    <row r="112" ht="15.75" customHeight="1">
      <c r="A112" s="8" t="str">
        <f t="shared" si="1"/>
        <v>ENT-0029</v>
      </c>
      <c r="B112" s="9">
        <v>46279.0</v>
      </c>
      <c r="C112" s="10" t="s">
        <v>819</v>
      </c>
      <c r="D112" s="12" t="str">
        <f t="array" ref="D112">IF(C112="","",IFERROR(INDEX(PRODUCTORES!$B:$B, MATCH(C112, PRODUCTORES!$F:$F, 0)) &amp; " " &amp; INDEX(PRODUCTORES!$C:$C, MATCH(C112, PRODUCTORES!$F:$F, 0)), IFERROR(INDEX(PRODUCTORES!$B:$B, MATCH(C112, PRODUCTORES!$A:$A, 0)) &amp; " " &amp; INDEX(PRODUCTORES!$C:$C, MATCH(C112, PRODUCTORES!$A:$A, 0)), IFERROR(TRIM(MID(C112, SEARCH(" - ", C112) + 3, 100)), "NO ENCONTRADO"))))</f>
        <v>VILLANUEVA VILLANUEVA JACQUELINE</v>
      </c>
      <c r="E112" s="13" t="str">
        <f t="array" ref="E112">IF(C112="","",IFERROR(INDEX(PRODUCTORES!$D:$D, MATCH(C112, PRODUCTORES!$F:$F, 0)), IFERROR(INDEX(PRODUCTORES!$D:$D, MATCH(IF(ISNUMBER(SEARCH(" - ", C112)), LEFT(C112, SEARCH(" - ", C112) - 1), C112), PRODUCTORES!$A:$A, 0)), "-")))</f>
        <v>Sí</v>
      </c>
      <c r="F112" s="14" t="s">
        <v>50</v>
      </c>
      <c r="G112" s="15">
        <v>1.0</v>
      </c>
      <c r="H112" s="16"/>
    </row>
    <row r="113" ht="15.75" customHeight="1">
      <c r="A113" s="8" t="str">
        <f t="shared" si="1"/>
        <v>ENT-0029</v>
      </c>
      <c r="B113" s="9">
        <v>46279.0</v>
      </c>
      <c r="C113" s="10" t="s">
        <v>819</v>
      </c>
      <c r="D113" s="12" t="str">
        <f t="array" ref="D113">IF(C113="","",IFERROR(INDEX(PRODUCTORES!$B:$B, MATCH(C113, PRODUCTORES!$F:$F, 0)) &amp; " " &amp; INDEX(PRODUCTORES!$C:$C, MATCH(C113, PRODUCTORES!$F:$F, 0)), IFERROR(INDEX(PRODUCTORES!$B:$B, MATCH(C113, PRODUCTORES!$A:$A, 0)) &amp; " " &amp; INDEX(PRODUCTORES!$C:$C, MATCH(C113, PRODUCTORES!$A:$A, 0)), IFERROR(TRIM(MID(C113, SEARCH(" - ", C113) + 3, 100)), "NO ENCONTRADO"))))</f>
        <v>VILLANUEVA VILLANUEVA JACQUELINE</v>
      </c>
      <c r="E113" s="13" t="str">
        <f t="array" ref="E113">IF(C113="","",IFERROR(INDEX(PRODUCTORES!$D:$D, MATCH(C113, PRODUCTORES!$F:$F, 0)), IFERROR(INDEX(PRODUCTORES!$D:$D, MATCH(IF(ISNUMBER(SEARCH(" - ", C113)), LEFT(C113, SEARCH(" - ", C113) - 1), C113), PRODUCTORES!$A:$A, 0)), "-")))</f>
        <v>Sí</v>
      </c>
      <c r="F113" s="14" t="s">
        <v>81</v>
      </c>
      <c r="G113" s="15">
        <v>1.0</v>
      </c>
      <c r="H113" s="16"/>
    </row>
    <row r="114" ht="15.75" customHeight="1">
      <c r="A114" s="8" t="str">
        <f t="shared" si="1"/>
        <v>ENT-0029</v>
      </c>
      <c r="B114" s="9">
        <v>46279.0</v>
      </c>
      <c r="C114" s="10" t="s">
        <v>819</v>
      </c>
      <c r="D114" s="12" t="str">
        <f t="array" ref="D114">IF(C114="","",IFERROR(INDEX(PRODUCTORES!$B:$B, MATCH(C114, PRODUCTORES!$F:$F, 0)) &amp; " " &amp; INDEX(PRODUCTORES!$C:$C, MATCH(C114, PRODUCTORES!$F:$F, 0)), IFERROR(INDEX(PRODUCTORES!$B:$B, MATCH(C114, PRODUCTORES!$A:$A, 0)) &amp; " " &amp; INDEX(PRODUCTORES!$C:$C, MATCH(C114, PRODUCTORES!$A:$A, 0)), IFERROR(TRIM(MID(C114, SEARCH(" - ", C114) + 3, 100)), "NO ENCONTRADO"))))</f>
        <v>VILLANUEVA VILLANUEVA JACQUELINE</v>
      </c>
      <c r="E114" s="13" t="str">
        <f t="array" ref="E114">IF(C114="","",IFERROR(INDEX(PRODUCTORES!$D:$D, MATCH(C114, PRODUCTORES!$F:$F, 0)), IFERROR(INDEX(PRODUCTORES!$D:$D, MATCH(IF(ISNUMBER(SEARCH(" - ", C114)), LEFT(C114, SEARCH(" - ", C114) - 1), C114), PRODUCTORES!$A:$A, 0)), "-")))</f>
        <v>Sí</v>
      </c>
      <c r="F114" s="14" t="s">
        <v>78</v>
      </c>
      <c r="G114" s="15">
        <v>1.0</v>
      </c>
      <c r="H114" s="16"/>
    </row>
    <row r="115" ht="15.75" customHeight="1">
      <c r="A115" s="8" t="str">
        <f t="shared" si="1"/>
        <v>ENT-0029</v>
      </c>
      <c r="B115" s="9">
        <v>46279.0</v>
      </c>
      <c r="C115" s="10" t="s">
        <v>819</v>
      </c>
      <c r="D115" s="12" t="str">
        <f t="array" ref="D115">IF(C115="","",IFERROR(INDEX(PRODUCTORES!$B:$B, MATCH(C115, PRODUCTORES!$F:$F, 0)) &amp; " " &amp; INDEX(PRODUCTORES!$C:$C, MATCH(C115, PRODUCTORES!$F:$F, 0)), IFERROR(INDEX(PRODUCTORES!$B:$B, MATCH(C115, PRODUCTORES!$A:$A, 0)) &amp; " " &amp; INDEX(PRODUCTORES!$C:$C, MATCH(C115, PRODUCTORES!$A:$A, 0)), IFERROR(TRIM(MID(C115, SEARCH(" - ", C115) + 3, 100)), "NO ENCONTRADO"))))</f>
        <v>VILLANUEVA VILLANUEVA JACQUELINE</v>
      </c>
      <c r="E115" s="13" t="str">
        <f t="array" ref="E115">IF(C115="","",IFERROR(INDEX(PRODUCTORES!$D:$D, MATCH(C115, PRODUCTORES!$F:$F, 0)), IFERROR(INDEX(PRODUCTORES!$D:$D, MATCH(IF(ISNUMBER(SEARCH(" - ", C115)), LEFT(C115, SEARCH(" - ", C115) - 1), C115), PRODUCTORES!$A:$A, 0)), "-")))</f>
        <v>Sí</v>
      </c>
      <c r="F115" s="14" t="s">
        <v>46</v>
      </c>
      <c r="G115" s="15">
        <v>1.0</v>
      </c>
      <c r="H115" s="16"/>
    </row>
    <row r="116" ht="15.75" customHeight="1">
      <c r="A116" s="8" t="str">
        <f t="shared" si="1"/>
        <v>ENT-0029</v>
      </c>
      <c r="B116" s="9">
        <v>46279.0</v>
      </c>
      <c r="C116" s="10" t="s">
        <v>819</v>
      </c>
      <c r="D116" s="12" t="str">
        <f t="array" ref="D116">IF(C116="","",IFERROR(INDEX(PRODUCTORES!$B:$B, MATCH(C116, PRODUCTORES!$F:$F, 0)) &amp; " " &amp; INDEX(PRODUCTORES!$C:$C, MATCH(C116, PRODUCTORES!$F:$F, 0)), IFERROR(INDEX(PRODUCTORES!$B:$B, MATCH(C116, PRODUCTORES!$A:$A, 0)) &amp; " " &amp; INDEX(PRODUCTORES!$C:$C, MATCH(C116, PRODUCTORES!$A:$A, 0)), IFERROR(TRIM(MID(C116, SEARCH(" - ", C116) + 3, 100)), "NO ENCONTRADO"))))</f>
        <v>VILLANUEVA VILLANUEVA JACQUELINE</v>
      </c>
      <c r="E116" s="13" t="str">
        <f t="array" ref="E116">IF(C116="","",IFERROR(INDEX(PRODUCTORES!$D:$D, MATCH(C116, PRODUCTORES!$F:$F, 0)), IFERROR(INDEX(PRODUCTORES!$D:$D, MATCH(IF(ISNUMBER(SEARCH(" - ", C116)), LEFT(C116, SEARCH(" - ", C116) - 1), C116), PRODUCTORES!$A:$A, 0)), "-")))</f>
        <v>Sí</v>
      </c>
      <c r="F116" s="14" t="s">
        <v>56</v>
      </c>
      <c r="G116" s="15">
        <v>1.0</v>
      </c>
      <c r="H116" s="16"/>
    </row>
    <row r="117" ht="15.75" customHeight="1">
      <c r="A117" s="8" t="str">
        <f t="shared" si="1"/>
        <v>ENT-0030</v>
      </c>
      <c r="B117" s="9">
        <v>46279.0</v>
      </c>
      <c r="C117" s="20" t="s">
        <v>1440</v>
      </c>
      <c r="D117" s="12" t="str">
        <f t="array" ref="D117">IF(C117="","",IFERROR(INDEX(PRODUCTORES!$B:$B, MATCH(C117, PRODUCTORES!$F:$F, 0)) &amp; " " &amp; INDEX(PRODUCTORES!$C:$C, MATCH(C117, PRODUCTORES!$F:$F, 0)), IFERROR(INDEX(PRODUCTORES!$B:$B, MATCH(C117, PRODUCTORES!$A:$A, 0)) &amp; " " &amp; INDEX(PRODUCTORES!$C:$C, MATCH(C117, PRODUCTORES!$A:$A, 0)), IFERROR(TRIM(MID(C117, SEARCH(" - ", C117) + 3, 100)), "NO ENCONTRADO"))))</f>
        <v>NO ENCONTRADO</v>
      </c>
      <c r="E117" s="13" t="str">
        <f t="array" ref="E117">IF(C117="","",IFERROR(INDEX(PRODUCTORES!$D:$D, MATCH(C117, PRODUCTORES!$F:$F, 0)), IFERROR(INDEX(PRODUCTORES!$D:$D, MATCH(IF(ISNUMBER(SEARCH(" - ", C117)), LEFT(C117, SEARCH(" - ", C117) - 1), C117), PRODUCTORES!$A:$A, 0)), "-")))</f>
        <v>-</v>
      </c>
      <c r="F117" s="14" t="s">
        <v>58</v>
      </c>
      <c r="G117" s="21">
        <v>3.0</v>
      </c>
      <c r="H117" s="22"/>
    </row>
    <row r="118" ht="15.75" customHeight="1">
      <c r="A118" s="8" t="str">
        <f t="shared" si="1"/>
        <v>ENT-0030</v>
      </c>
      <c r="B118" s="9">
        <v>46279.0</v>
      </c>
      <c r="C118" s="20" t="s">
        <v>1440</v>
      </c>
      <c r="D118" s="12" t="str">
        <f t="array" ref="D118">IF(C118="","",IFERROR(INDEX(PRODUCTORES!$B:$B, MATCH(C118, PRODUCTORES!$F:$F, 0)) &amp; " " &amp; INDEX(PRODUCTORES!$C:$C, MATCH(C118, PRODUCTORES!$F:$F, 0)), IFERROR(INDEX(PRODUCTORES!$B:$B, MATCH(C118, PRODUCTORES!$A:$A, 0)) &amp; " " &amp; INDEX(PRODUCTORES!$C:$C, MATCH(C118, PRODUCTORES!$A:$A, 0)), IFERROR(TRIM(MID(C118, SEARCH(" - ", C118) + 3, 100)), "NO ENCONTRADO"))))</f>
        <v>NO ENCONTRADO</v>
      </c>
      <c r="E118" s="13" t="str">
        <f t="array" ref="E118">IF(C118="","",IFERROR(INDEX(PRODUCTORES!$D:$D, MATCH(C118, PRODUCTORES!$F:$F, 0)), IFERROR(INDEX(PRODUCTORES!$D:$D, MATCH(IF(ISNUMBER(SEARCH(" - ", C118)), LEFT(C118, SEARCH(" - ", C118) - 1), C118), PRODUCTORES!$A:$A, 0)), "-")))</f>
        <v>-</v>
      </c>
      <c r="F118" s="14" t="s">
        <v>70</v>
      </c>
      <c r="G118" s="21">
        <v>1.0</v>
      </c>
      <c r="H118" s="22"/>
    </row>
    <row r="119" ht="15.75" customHeight="1">
      <c r="A119" s="8" t="str">
        <f t="shared" si="1"/>
        <v>ENT-0030</v>
      </c>
      <c r="B119" s="9">
        <v>46279.0</v>
      </c>
      <c r="C119" s="20" t="s">
        <v>1440</v>
      </c>
      <c r="D119" s="12" t="str">
        <f t="array" ref="D119">IF(C119="","",IFERROR(INDEX(PRODUCTORES!$B:$B, MATCH(C119, PRODUCTORES!$F:$F, 0)) &amp; " " &amp; INDEX(PRODUCTORES!$C:$C, MATCH(C119, PRODUCTORES!$F:$F, 0)), IFERROR(INDEX(PRODUCTORES!$B:$B, MATCH(C119, PRODUCTORES!$A:$A, 0)) &amp; " " &amp; INDEX(PRODUCTORES!$C:$C, MATCH(C119, PRODUCTORES!$A:$A, 0)), IFERROR(TRIM(MID(C119, SEARCH(" - ", C119) + 3, 100)), "NO ENCONTRADO"))))</f>
        <v>NO ENCONTRADO</v>
      </c>
      <c r="E119" s="13" t="str">
        <f t="array" ref="E119">IF(C119="","",IFERROR(INDEX(PRODUCTORES!$D:$D, MATCH(C119, PRODUCTORES!$F:$F, 0)), IFERROR(INDEX(PRODUCTORES!$D:$D, MATCH(IF(ISNUMBER(SEARCH(" - ", C119)), LEFT(C119, SEARCH(" - ", C119) - 1), C119), PRODUCTORES!$A:$A, 0)), "-")))</f>
        <v>-</v>
      </c>
      <c r="F119" s="14" t="s">
        <v>50</v>
      </c>
      <c r="G119" s="21">
        <v>1.0</v>
      </c>
      <c r="H119" s="22"/>
    </row>
    <row r="120" ht="15.75" customHeight="1">
      <c r="A120" s="8" t="str">
        <f t="shared" si="1"/>
        <v>ENT-0030</v>
      </c>
      <c r="B120" s="9">
        <v>46279.0</v>
      </c>
      <c r="C120" s="20" t="s">
        <v>1440</v>
      </c>
      <c r="D120" s="12" t="str">
        <f t="array" ref="D120">IF(C120="","",IFERROR(INDEX(PRODUCTORES!$B:$B, MATCH(C120, PRODUCTORES!$F:$F, 0)) &amp; " " &amp; INDEX(PRODUCTORES!$C:$C, MATCH(C120, PRODUCTORES!$F:$F, 0)), IFERROR(INDEX(PRODUCTORES!$B:$B, MATCH(C120, PRODUCTORES!$A:$A, 0)) &amp; " " &amp; INDEX(PRODUCTORES!$C:$C, MATCH(C120, PRODUCTORES!$A:$A, 0)), IFERROR(TRIM(MID(C120, SEARCH(" - ", C120) + 3, 100)), "NO ENCONTRADO"))))</f>
        <v>NO ENCONTRADO</v>
      </c>
      <c r="E120" s="13" t="str">
        <f t="array" ref="E120">IF(C120="","",IFERROR(INDEX(PRODUCTORES!$D:$D, MATCH(C120, PRODUCTORES!$F:$F, 0)), IFERROR(INDEX(PRODUCTORES!$D:$D, MATCH(IF(ISNUMBER(SEARCH(" - ", C120)), LEFT(C120, SEARCH(" - ", C120) - 1), C120), PRODUCTORES!$A:$A, 0)), "-")))</f>
        <v>-</v>
      </c>
      <c r="F120" s="14" t="s">
        <v>46</v>
      </c>
      <c r="G120" s="21">
        <v>1.0</v>
      </c>
      <c r="H120" s="22"/>
    </row>
    <row r="121" ht="15.75" customHeight="1">
      <c r="A121" s="8" t="str">
        <f t="shared" si="1"/>
        <v>ENT-0031</v>
      </c>
      <c r="B121" s="9">
        <v>46279.0</v>
      </c>
      <c r="C121" s="20" t="s">
        <v>1441</v>
      </c>
      <c r="D121" s="12" t="str">
        <f t="array" ref="D121">IF(C121="","",IFERROR(INDEX(PRODUCTORES!$B:$B, MATCH(C121, PRODUCTORES!$F:$F, 0)) &amp; " " &amp; INDEX(PRODUCTORES!$C:$C, MATCH(C121, PRODUCTORES!$F:$F, 0)), IFERROR(INDEX(PRODUCTORES!$B:$B, MATCH(C121, PRODUCTORES!$A:$A, 0)) &amp; " " &amp; INDEX(PRODUCTORES!$C:$C, MATCH(C121, PRODUCTORES!$A:$A, 0)), IFERROR(TRIM(MID(C121, SEARCH(" - ", C121) + 3, 100)), "NO ENCONTRADO"))))</f>
        <v>NO ENCONTRADO</v>
      </c>
      <c r="E121" s="13" t="str">
        <f t="array" ref="E121">IF(C121="","",IFERROR(INDEX(PRODUCTORES!$D:$D, MATCH(C121, PRODUCTORES!$F:$F, 0)), IFERROR(INDEX(PRODUCTORES!$D:$D, MATCH(IF(ISNUMBER(SEARCH(" - ", C121)), LEFT(C121, SEARCH(" - ", C121) - 1), C121), PRODUCTORES!$A:$A, 0)), "-")))</f>
        <v>-</v>
      </c>
      <c r="F121" s="14" t="s">
        <v>58</v>
      </c>
      <c r="G121" s="21">
        <v>1.0</v>
      </c>
      <c r="H121" s="22"/>
    </row>
    <row r="122" ht="15.75" customHeight="1">
      <c r="A122" s="8" t="str">
        <f t="shared" si="1"/>
        <v>ENT-0031</v>
      </c>
      <c r="B122" s="9">
        <v>46279.0</v>
      </c>
      <c r="C122" s="20" t="s">
        <v>1441</v>
      </c>
      <c r="D122" s="12" t="str">
        <f t="array" ref="D122">IF(C122="","",IFERROR(INDEX(PRODUCTORES!$B:$B, MATCH(C122, PRODUCTORES!$F:$F, 0)) &amp; " " &amp; INDEX(PRODUCTORES!$C:$C, MATCH(C122, PRODUCTORES!$F:$F, 0)), IFERROR(INDEX(PRODUCTORES!$B:$B, MATCH(C122, PRODUCTORES!$A:$A, 0)) &amp; " " &amp; INDEX(PRODUCTORES!$C:$C, MATCH(C122, PRODUCTORES!$A:$A, 0)), IFERROR(TRIM(MID(C122, SEARCH(" - ", C122) + 3, 100)), "NO ENCONTRADO"))))</f>
        <v>NO ENCONTRADO</v>
      </c>
      <c r="E122" s="13" t="str">
        <f t="array" ref="E122">IF(C122="","",IFERROR(INDEX(PRODUCTORES!$D:$D, MATCH(C122, PRODUCTORES!$F:$F, 0)), IFERROR(INDEX(PRODUCTORES!$D:$D, MATCH(IF(ISNUMBER(SEARCH(" - ", C122)), LEFT(C122, SEARCH(" - ", C122) - 1), C122), PRODUCTORES!$A:$A, 0)), "-")))</f>
        <v>-</v>
      </c>
      <c r="F122" s="14" t="s">
        <v>70</v>
      </c>
      <c r="G122" s="21">
        <v>1.0</v>
      </c>
      <c r="H122" s="22"/>
    </row>
    <row r="123" ht="15.75" customHeight="1">
      <c r="A123" s="8" t="str">
        <f t="shared" si="1"/>
        <v>ENT-0031</v>
      </c>
      <c r="B123" s="9">
        <v>46279.0</v>
      </c>
      <c r="C123" s="20" t="s">
        <v>1441</v>
      </c>
      <c r="D123" s="12" t="str">
        <f t="array" ref="D123">IF(C123="","",IFERROR(INDEX(PRODUCTORES!$B:$B, MATCH(C123, PRODUCTORES!$F:$F, 0)) &amp; " " &amp; INDEX(PRODUCTORES!$C:$C, MATCH(C123, PRODUCTORES!$F:$F, 0)), IFERROR(INDEX(PRODUCTORES!$B:$B, MATCH(C123, PRODUCTORES!$A:$A, 0)) &amp; " " &amp; INDEX(PRODUCTORES!$C:$C, MATCH(C123, PRODUCTORES!$A:$A, 0)), IFERROR(TRIM(MID(C123, SEARCH(" - ", C123) + 3, 100)), "NO ENCONTRADO"))))</f>
        <v>NO ENCONTRADO</v>
      </c>
      <c r="E123" s="13" t="str">
        <f t="array" ref="E123">IF(C123="","",IFERROR(INDEX(PRODUCTORES!$D:$D, MATCH(C123, PRODUCTORES!$F:$F, 0)), IFERROR(INDEX(PRODUCTORES!$D:$D, MATCH(IF(ISNUMBER(SEARCH(" - ", C123)), LEFT(C123, SEARCH(" - ", C123) - 1), C123), PRODUCTORES!$A:$A, 0)), "-")))</f>
        <v>-</v>
      </c>
      <c r="F123" s="14" t="s">
        <v>50</v>
      </c>
      <c r="G123" s="21">
        <v>1.0</v>
      </c>
      <c r="H123" s="22"/>
    </row>
    <row r="124" ht="15.75" customHeight="1">
      <c r="A124" s="8" t="str">
        <f t="shared" si="1"/>
        <v>ENT-0032</v>
      </c>
      <c r="B124" s="9">
        <v>46279.0</v>
      </c>
      <c r="C124" s="20" t="s">
        <v>1442</v>
      </c>
      <c r="D124" s="12" t="str">
        <f t="array" ref="D124">IF(C124="","",IFERROR(INDEX(PRODUCTORES!$B:$B, MATCH(C124, PRODUCTORES!$F:$F, 0)) &amp; " " &amp; INDEX(PRODUCTORES!$C:$C, MATCH(C124, PRODUCTORES!$F:$F, 0)), IFERROR(INDEX(PRODUCTORES!$B:$B, MATCH(C124, PRODUCTORES!$A:$A, 0)) &amp; " " &amp; INDEX(PRODUCTORES!$C:$C, MATCH(C124, PRODUCTORES!$A:$A, 0)), IFERROR(TRIM(MID(C124, SEARCH(" - ", C124) + 3, 100)), "NO ENCONTRADO"))))</f>
        <v>NO ENCONTRADO</v>
      </c>
      <c r="E124" s="13" t="str">
        <f t="array" ref="E124">IF(C124="","",IFERROR(INDEX(PRODUCTORES!$D:$D, MATCH(C124, PRODUCTORES!$F:$F, 0)), IFERROR(INDEX(PRODUCTORES!$D:$D, MATCH(IF(ISNUMBER(SEARCH(" - ", C124)), LEFT(C124, SEARCH(" - ", C124) - 1), C124), PRODUCTORES!$A:$A, 0)), "-")))</f>
        <v>-</v>
      </c>
      <c r="F124" s="14" t="s">
        <v>58</v>
      </c>
      <c r="G124" s="21">
        <v>1.0</v>
      </c>
      <c r="H124" s="22"/>
    </row>
    <row r="125" ht="15.75" customHeight="1">
      <c r="A125" s="8" t="str">
        <f t="shared" si="1"/>
        <v>ENT-0033</v>
      </c>
      <c r="B125" s="9">
        <v>46281.0</v>
      </c>
      <c r="C125" s="20" t="s">
        <v>1442</v>
      </c>
      <c r="D125" s="12" t="str">
        <f t="array" ref="D125">IF(C125="","",IFERROR(INDEX(PRODUCTORES!$B:$B, MATCH(C125, PRODUCTORES!$F:$F, 0)) &amp; " " &amp; INDEX(PRODUCTORES!$C:$C, MATCH(C125, PRODUCTORES!$F:$F, 0)), IFERROR(INDEX(PRODUCTORES!$B:$B, MATCH(C125, PRODUCTORES!$A:$A, 0)) &amp; " " &amp; INDEX(PRODUCTORES!$C:$C, MATCH(C125, PRODUCTORES!$A:$A, 0)), IFERROR(TRIM(MID(C125, SEARCH(" - ", C125) + 3, 100)), "NO ENCONTRADO"))))</f>
        <v>NO ENCONTRADO</v>
      </c>
      <c r="E125" s="13" t="str">
        <f t="array" ref="E125">IF(C125="","",IFERROR(INDEX(PRODUCTORES!$D:$D, MATCH(C125, PRODUCTORES!$F:$F, 0)), IFERROR(INDEX(PRODUCTORES!$D:$D, MATCH(IF(ISNUMBER(SEARCH(" - ", C125)), LEFT(C125, SEARCH(" - ", C125) - 1), C125), PRODUCTORES!$A:$A, 0)), "-")))</f>
        <v>-</v>
      </c>
      <c r="F125" s="14" t="s">
        <v>70</v>
      </c>
      <c r="G125" s="21">
        <v>1.0</v>
      </c>
      <c r="H125" s="22"/>
    </row>
    <row r="126" ht="15.75" customHeight="1">
      <c r="A126" s="8" t="str">
        <f t="shared" si="1"/>
        <v>ENT-0033</v>
      </c>
      <c r="B126" s="9">
        <v>46281.0</v>
      </c>
      <c r="C126" s="20" t="s">
        <v>1442</v>
      </c>
      <c r="D126" s="12" t="str">
        <f t="array" ref="D126">IF(C126="","",IFERROR(INDEX(PRODUCTORES!$B:$B, MATCH(C126, PRODUCTORES!$F:$F, 0)) &amp; " " &amp; INDEX(PRODUCTORES!$C:$C, MATCH(C126, PRODUCTORES!$F:$F, 0)), IFERROR(INDEX(PRODUCTORES!$B:$B, MATCH(C126, PRODUCTORES!$A:$A, 0)) &amp; " " &amp; INDEX(PRODUCTORES!$C:$C, MATCH(C126, PRODUCTORES!$A:$A, 0)), IFERROR(TRIM(MID(C126, SEARCH(" - ", C126) + 3, 100)), "NO ENCONTRADO"))))</f>
        <v>NO ENCONTRADO</v>
      </c>
      <c r="E126" s="13" t="str">
        <f t="array" ref="E126">IF(C126="","",IFERROR(INDEX(PRODUCTORES!$D:$D, MATCH(C126, PRODUCTORES!$F:$F, 0)), IFERROR(INDEX(PRODUCTORES!$D:$D, MATCH(IF(ISNUMBER(SEARCH(" - ", C126)), LEFT(C126, SEARCH(" - ", C126) - 1), C126), PRODUCTORES!$A:$A, 0)), "-")))</f>
        <v>-</v>
      </c>
      <c r="F126" s="14" t="s">
        <v>81</v>
      </c>
      <c r="G126" s="21">
        <v>1.0</v>
      </c>
      <c r="H126" s="22"/>
    </row>
    <row r="127" ht="15.75" customHeight="1">
      <c r="A127" s="8" t="str">
        <f t="shared" si="1"/>
        <v>ENT-0033</v>
      </c>
      <c r="B127" s="9">
        <v>46281.0</v>
      </c>
      <c r="C127" s="20" t="s">
        <v>1442</v>
      </c>
      <c r="D127" s="12" t="str">
        <f t="array" ref="D127">IF(C127="","",IFERROR(INDEX(PRODUCTORES!$B:$B, MATCH(C127, PRODUCTORES!$F:$F, 0)) &amp; " " &amp; INDEX(PRODUCTORES!$C:$C, MATCH(C127, PRODUCTORES!$F:$F, 0)), IFERROR(INDEX(PRODUCTORES!$B:$B, MATCH(C127, PRODUCTORES!$A:$A, 0)) &amp; " " &amp; INDEX(PRODUCTORES!$C:$C, MATCH(C127, PRODUCTORES!$A:$A, 0)), IFERROR(TRIM(MID(C127, SEARCH(" - ", C127) + 3, 100)), "NO ENCONTRADO"))))</f>
        <v>NO ENCONTRADO</v>
      </c>
      <c r="E127" s="13" t="str">
        <f t="array" ref="E127">IF(C127="","",IFERROR(INDEX(PRODUCTORES!$D:$D, MATCH(C127, PRODUCTORES!$F:$F, 0)), IFERROR(INDEX(PRODUCTORES!$D:$D, MATCH(IF(ISNUMBER(SEARCH(" - ", C127)), LEFT(C127, SEARCH(" - ", C127) - 1), C127), PRODUCTORES!$A:$A, 0)), "-")))</f>
        <v>-</v>
      </c>
      <c r="F127" s="14" t="s">
        <v>52</v>
      </c>
      <c r="G127" s="21">
        <v>2.0</v>
      </c>
      <c r="H127" s="22"/>
    </row>
    <row r="128" ht="15.75" customHeight="1">
      <c r="A128" s="8" t="str">
        <f t="shared" si="1"/>
        <v>ENT-0034</v>
      </c>
      <c r="B128" s="9">
        <v>46280.0</v>
      </c>
      <c r="C128" s="10" t="s">
        <v>290</v>
      </c>
      <c r="D128" s="12" t="str">
        <f t="array" ref="D128">IF(C128="","",IFERROR(INDEX(PRODUCTORES!$B:$B, MATCH(C128, PRODUCTORES!$F:$F, 0)) &amp; " " &amp; INDEX(PRODUCTORES!$C:$C, MATCH(C128, PRODUCTORES!$F:$F, 0)), IFERROR(INDEX(PRODUCTORES!$B:$B, MATCH(C128, PRODUCTORES!$A:$A, 0)) &amp; " " &amp; INDEX(PRODUCTORES!$C:$C, MATCH(C128, PRODUCTORES!$A:$A, 0)), IFERROR(TRIM(MID(C128, SEARCH(" - ", C128) + 3, 100)), "NO ENCONTRADO"))))</f>
        <v>BARRIA CALISTO ORLANDO</v>
      </c>
      <c r="E128" s="13" t="str">
        <f t="array" ref="E128">IF(C128="","",IFERROR(INDEX(PRODUCTORES!$D:$D, MATCH(C128, PRODUCTORES!$F:$F, 0)), IFERROR(INDEX(PRODUCTORES!$D:$D, MATCH(IF(ISNUMBER(SEARCH(" - ", C128)), LEFT(C128, SEARCH(" - ", C128) - 1), C128), PRODUCTORES!$A:$A, 0)), "-")))</f>
        <v>Sí</v>
      </c>
      <c r="F128" s="14" t="s">
        <v>58</v>
      </c>
      <c r="G128" s="15">
        <v>6.0</v>
      </c>
      <c r="H128" s="16"/>
    </row>
    <row r="129" ht="15.75" customHeight="1">
      <c r="A129" s="8" t="str">
        <f t="shared" si="1"/>
        <v>ENT-0034</v>
      </c>
      <c r="B129" s="9">
        <v>46280.0</v>
      </c>
      <c r="C129" s="10" t="s">
        <v>290</v>
      </c>
      <c r="D129" s="12" t="str">
        <f t="array" ref="D129">IF(C129="","",IFERROR(INDEX(PRODUCTORES!$B:$B, MATCH(C129, PRODUCTORES!$F:$F, 0)) &amp; " " &amp; INDEX(PRODUCTORES!$C:$C, MATCH(C129, PRODUCTORES!$F:$F, 0)), IFERROR(INDEX(PRODUCTORES!$B:$B, MATCH(C129, PRODUCTORES!$A:$A, 0)) &amp; " " &amp; INDEX(PRODUCTORES!$C:$C, MATCH(C129, PRODUCTORES!$A:$A, 0)), IFERROR(TRIM(MID(C129, SEARCH(" - ", C129) + 3, 100)), "NO ENCONTRADO"))))</f>
        <v>BARRIA CALISTO ORLANDO</v>
      </c>
      <c r="E129" s="13" t="str">
        <f t="array" ref="E129">IF(C129="","",IFERROR(INDEX(PRODUCTORES!$D:$D, MATCH(C129, PRODUCTORES!$F:$F, 0)), IFERROR(INDEX(PRODUCTORES!$D:$D, MATCH(IF(ISNUMBER(SEARCH(" - ", C129)), LEFT(C129, SEARCH(" - ", C129) - 1), C129), PRODUCTORES!$A:$A, 0)), "-")))</f>
        <v>Sí</v>
      </c>
      <c r="F129" s="14" t="s">
        <v>78</v>
      </c>
      <c r="G129" s="15">
        <v>2.0</v>
      </c>
      <c r="H129" s="16"/>
    </row>
    <row r="130" ht="15.75" customHeight="1">
      <c r="A130" s="8" t="str">
        <f t="shared" si="1"/>
        <v>ENT-0034</v>
      </c>
      <c r="B130" s="9">
        <v>46280.0</v>
      </c>
      <c r="C130" s="10" t="s">
        <v>290</v>
      </c>
      <c r="D130" s="12" t="str">
        <f t="array" ref="D130">IF(C130="","",IFERROR(INDEX(PRODUCTORES!$B:$B, MATCH(C130, PRODUCTORES!$F:$F, 0)) &amp; " " &amp; INDEX(PRODUCTORES!$C:$C, MATCH(C130, PRODUCTORES!$F:$F, 0)), IFERROR(INDEX(PRODUCTORES!$B:$B, MATCH(C130, PRODUCTORES!$A:$A, 0)) &amp; " " &amp; INDEX(PRODUCTORES!$C:$C, MATCH(C130, PRODUCTORES!$A:$A, 0)), IFERROR(TRIM(MID(C130, SEARCH(" - ", C130) + 3, 100)), "NO ENCONTRADO"))))</f>
        <v>BARRIA CALISTO ORLANDO</v>
      </c>
      <c r="E130" s="13" t="str">
        <f t="array" ref="E130">IF(C130="","",IFERROR(INDEX(PRODUCTORES!$D:$D, MATCH(C130, PRODUCTORES!$F:$F, 0)), IFERROR(INDEX(PRODUCTORES!$D:$D, MATCH(IF(ISNUMBER(SEARCH(" - ", C130)), LEFT(C130, SEARCH(" - ", C130) - 1), C130), PRODUCTORES!$A:$A, 0)), "-")))</f>
        <v>Sí</v>
      </c>
      <c r="F130" s="14" t="s">
        <v>50</v>
      </c>
      <c r="G130" s="15">
        <v>2.0</v>
      </c>
      <c r="H130" s="16"/>
    </row>
    <row r="131" ht="15.75" customHeight="1">
      <c r="A131" s="8" t="str">
        <f t="shared" si="1"/>
        <v>ENT-0035</v>
      </c>
      <c r="B131" s="9">
        <v>46280.0</v>
      </c>
      <c r="C131" s="10" t="s">
        <v>294</v>
      </c>
      <c r="D131" s="12" t="str">
        <f t="array" ref="D131">IF(C131="","",IFERROR(INDEX(PRODUCTORES!$B:$B, MATCH(C131, PRODUCTORES!$F:$F, 0)) &amp; " " &amp; INDEX(PRODUCTORES!$C:$C, MATCH(C131, PRODUCTORES!$F:$F, 0)), IFERROR(INDEX(PRODUCTORES!$B:$B, MATCH(C131, PRODUCTORES!$A:$A, 0)) &amp; " " &amp; INDEX(PRODUCTORES!$C:$C, MATCH(C131, PRODUCTORES!$A:$A, 0)), IFERROR(TRIM(MID(C131, SEARCH(" - ", C131) + 3, 100)), "NO ENCONTRADO"))))</f>
        <v>BARRIA FRANCISCO</v>
      </c>
      <c r="E131" s="13" t="str">
        <f t="array" ref="E131">IF(C131="","",IFERROR(INDEX(PRODUCTORES!$D:$D, MATCH(C131, PRODUCTORES!$F:$F, 0)), IFERROR(INDEX(PRODUCTORES!$D:$D, MATCH(IF(ISNUMBER(SEARCH(" - ", C131)), LEFT(C131, SEARCH(" - ", C131) - 1), C131), PRODUCTORES!$A:$A, 0)), "-")))</f>
        <v>Sí</v>
      </c>
      <c r="F131" s="14" t="s">
        <v>58</v>
      </c>
      <c r="G131" s="15">
        <v>10.0</v>
      </c>
      <c r="H131" s="16"/>
    </row>
    <row r="132" ht="15.75" customHeight="1">
      <c r="A132" s="8" t="str">
        <f t="shared" si="1"/>
        <v>ENT-0035</v>
      </c>
      <c r="B132" s="9">
        <v>46280.0</v>
      </c>
      <c r="C132" s="10" t="s">
        <v>294</v>
      </c>
      <c r="D132" s="12" t="str">
        <f t="array" ref="D132">IF(C132="","",IFERROR(INDEX(PRODUCTORES!$B:$B, MATCH(C132, PRODUCTORES!$F:$F, 0)) &amp; " " &amp; INDEX(PRODUCTORES!$C:$C, MATCH(C132, PRODUCTORES!$F:$F, 0)), IFERROR(INDEX(PRODUCTORES!$B:$B, MATCH(C132, PRODUCTORES!$A:$A, 0)) &amp; " " &amp; INDEX(PRODUCTORES!$C:$C, MATCH(C132, PRODUCTORES!$A:$A, 0)), IFERROR(TRIM(MID(C132, SEARCH(" - ", C132) + 3, 100)), "NO ENCONTRADO"))))</f>
        <v>BARRIA FRANCISCO</v>
      </c>
      <c r="E132" s="13" t="str">
        <f t="array" ref="E132">IF(C132="","",IFERROR(INDEX(PRODUCTORES!$D:$D, MATCH(C132, PRODUCTORES!$F:$F, 0)), IFERROR(INDEX(PRODUCTORES!$D:$D, MATCH(IF(ISNUMBER(SEARCH(" - ", C132)), LEFT(C132, SEARCH(" - ", C132) - 1), C132), PRODUCTORES!$A:$A, 0)), "-")))</f>
        <v>Sí</v>
      </c>
      <c r="F132" s="14" t="s">
        <v>50</v>
      </c>
      <c r="G132" s="15">
        <v>6.0</v>
      </c>
      <c r="H132" s="16"/>
    </row>
    <row r="133" ht="15.75" customHeight="1">
      <c r="A133" s="8" t="str">
        <f t="shared" si="1"/>
        <v>ENT-0035</v>
      </c>
      <c r="B133" s="9">
        <v>46280.0</v>
      </c>
      <c r="C133" s="10" t="s">
        <v>294</v>
      </c>
      <c r="D133" s="12" t="str">
        <f t="array" ref="D133">IF(C133="","",IFERROR(INDEX(PRODUCTORES!$B:$B, MATCH(C133, PRODUCTORES!$F:$F, 0)) &amp; " " &amp; INDEX(PRODUCTORES!$C:$C, MATCH(C133, PRODUCTORES!$F:$F, 0)), IFERROR(INDEX(PRODUCTORES!$B:$B, MATCH(C133, PRODUCTORES!$A:$A, 0)) &amp; " " &amp; INDEX(PRODUCTORES!$C:$C, MATCH(C133, PRODUCTORES!$A:$A, 0)), IFERROR(TRIM(MID(C133, SEARCH(" - ", C133) + 3, 100)), "NO ENCONTRADO"))))</f>
        <v>BARRIA FRANCISCO</v>
      </c>
      <c r="E133" s="13" t="str">
        <f t="array" ref="E133">IF(C133="","",IFERROR(INDEX(PRODUCTORES!$D:$D, MATCH(C133, PRODUCTORES!$F:$F, 0)), IFERROR(INDEX(PRODUCTORES!$D:$D, MATCH(IF(ISNUMBER(SEARCH(" - ", C133)), LEFT(C133, SEARCH(" - ", C133) - 1), C133), PRODUCTORES!$A:$A, 0)), "-")))</f>
        <v>Sí</v>
      </c>
      <c r="F133" s="14" t="s">
        <v>70</v>
      </c>
      <c r="G133" s="15">
        <v>2.0</v>
      </c>
      <c r="H133" s="16"/>
    </row>
    <row r="134" ht="15.75" customHeight="1">
      <c r="A134" s="8" t="str">
        <f t="shared" si="1"/>
        <v>ENT-0035</v>
      </c>
      <c r="B134" s="9">
        <v>46280.0</v>
      </c>
      <c r="C134" s="10" t="s">
        <v>294</v>
      </c>
      <c r="D134" s="12" t="str">
        <f t="array" ref="D134">IF(C134="","",IFERROR(INDEX(PRODUCTORES!$B:$B, MATCH(C134, PRODUCTORES!$F:$F, 0)) &amp; " " &amp; INDEX(PRODUCTORES!$C:$C, MATCH(C134, PRODUCTORES!$F:$F, 0)), IFERROR(INDEX(PRODUCTORES!$B:$B, MATCH(C134, PRODUCTORES!$A:$A, 0)) &amp; " " &amp; INDEX(PRODUCTORES!$C:$C, MATCH(C134, PRODUCTORES!$A:$A, 0)), IFERROR(TRIM(MID(C134, SEARCH(" - ", C134) + 3, 100)), "NO ENCONTRADO"))))</f>
        <v>BARRIA FRANCISCO</v>
      </c>
      <c r="E134" s="13" t="str">
        <f t="array" ref="E134">IF(C134="","",IFERROR(INDEX(PRODUCTORES!$D:$D, MATCH(C134, PRODUCTORES!$F:$F, 0)), IFERROR(INDEX(PRODUCTORES!$D:$D, MATCH(IF(ISNUMBER(SEARCH(" - ", C134)), LEFT(C134, SEARCH(" - ", C134) - 1), C134), PRODUCTORES!$A:$A, 0)), "-")))</f>
        <v>Sí</v>
      </c>
      <c r="F134" s="14" t="s">
        <v>81</v>
      </c>
      <c r="G134" s="15">
        <v>6.0</v>
      </c>
      <c r="H134" s="16"/>
    </row>
    <row r="135" ht="15.75" customHeight="1">
      <c r="A135" s="8" t="str">
        <f t="shared" si="1"/>
        <v>ENT-0036</v>
      </c>
      <c r="B135" s="9">
        <v>46280.0</v>
      </c>
      <c r="C135" s="10" t="s">
        <v>336</v>
      </c>
      <c r="D135" s="12" t="str">
        <f t="array" ref="D135">IF(C135="","",IFERROR(INDEX(PRODUCTORES!$B:$B, MATCH(C135, PRODUCTORES!$F:$F, 0)) &amp; " " &amp; INDEX(PRODUCTORES!$C:$C, MATCH(C135, PRODUCTORES!$F:$F, 0)), IFERROR(INDEX(PRODUCTORES!$B:$B, MATCH(C135, PRODUCTORES!$A:$A, 0)) &amp; " " &amp; INDEX(PRODUCTORES!$C:$C, MATCH(C135, PRODUCTORES!$A:$A, 0)), IFERROR(TRIM(MID(C135, SEARCH(" - ", C135) + 3, 100)), "NO ENCONTRADO"))))</f>
        <v>BENITEZ NATALIA</v>
      </c>
      <c r="E135" s="13" t="str">
        <f t="array" ref="E135">IF(C135="","",IFERROR(INDEX(PRODUCTORES!$D:$D, MATCH(C135, PRODUCTORES!$F:$F, 0)), IFERROR(INDEX(PRODUCTORES!$D:$D, MATCH(IF(ISNUMBER(SEARCH(" - ", C135)), LEFT(C135, SEARCH(" - ", C135) - 1), C135), PRODUCTORES!$A:$A, 0)), "-")))</f>
        <v>Sí</v>
      </c>
      <c r="F135" s="14" t="s">
        <v>58</v>
      </c>
      <c r="G135" s="15">
        <v>5.0</v>
      </c>
      <c r="H135" s="16"/>
    </row>
    <row r="136" ht="15.75" customHeight="1">
      <c r="A136" s="8" t="str">
        <f t="shared" si="1"/>
        <v>ENT-0036</v>
      </c>
      <c r="B136" s="9">
        <v>46280.0</v>
      </c>
      <c r="C136" s="10" t="s">
        <v>336</v>
      </c>
      <c r="D136" s="12" t="str">
        <f t="array" ref="D136">IF(C136="","",IFERROR(INDEX(PRODUCTORES!$B:$B, MATCH(C136, PRODUCTORES!$F:$F, 0)) &amp; " " &amp; INDEX(PRODUCTORES!$C:$C, MATCH(C136, PRODUCTORES!$F:$F, 0)), IFERROR(INDEX(PRODUCTORES!$B:$B, MATCH(C136, PRODUCTORES!$A:$A, 0)) &amp; " " &amp; INDEX(PRODUCTORES!$C:$C, MATCH(C136, PRODUCTORES!$A:$A, 0)), IFERROR(TRIM(MID(C136, SEARCH(" - ", C136) + 3, 100)), "NO ENCONTRADO"))))</f>
        <v>BENITEZ NATALIA</v>
      </c>
      <c r="E136" s="13" t="str">
        <f t="array" ref="E136">IF(C136="","",IFERROR(INDEX(PRODUCTORES!$D:$D, MATCH(C136, PRODUCTORES!$F:$F, 0)), IFERROR(INDEX(PRODUCTORES!$D:$D, MATCH(IF(ISNUMBER(SEARCH(" - ", C136)), LEFT(C136, SEARCH(" - ", C136) - 1), C136), PRODUCTORES!$A:$A, 0)), "-")))</f>
        <v>Sí</v>
      </c>
      <c r="F136" s="14" t="s">
        <v>81</v>
      </c>
      <c r="G136" s="15">
        <v>2.0</v>
      </c>
      <c r="H136" s="16"/>
    </row>
    <row r="137" ht="15.75" customHeight="1">
      <c r="A137" s="8" t="str">
        <f t="shared" si="1"/>
        <v>ENT-0036</v>
      </c>
      <c r="B137" s="9">
        <v>46280.0</v>
      </c>
      <c r="C137" s="10" t="s">
        <v>336</v>
      </c>
      <c r="D137" s="12" t="str">
        <f t="array" ref="D137">IF(C137="","",IFERROR(INDEX(PRODUCTORES!$B:$B, MATCH(C137, PRODUCTORES!$F:$F, 0)) &amp; " " &amp; INDEX(PRODUCTORES!$C:$C, MATCH(C137, PRODUCTORES!$F:$F, 0)), IFERROR(INDEX(PRODUCTORES!$B:$B, MATCH(C137, PRODUCTORES!$A:$A, 0)) &amp; " " &amp; INDEX(PRODUCTORES!$C:$C, MATCH(C137, PRODUCTORES!$A:$A, 0)), IFERROR(TRIM(MID(C137, SEARCH(" - ", C137) + 3, 100)), "NO ENCONTRADO"))))</f>
        <v>BENITEZ NATALIA</v>
      </c>
      <c r="E137" s="13" t="str">
        <f t="array" ref="E137">IF(C137="","",IFERROR(INDEX(PRODUCTORES!$D:$D, MATCH(C137, PRODUCTORES!$F:$F, 0)), IFERROR(INDEX(PRODUCTORES!$D:$D, MATCH(IF(ISNUMBER(SEARCH(" - ", C137)), LEFT(C137, SEARCH(" - ", C137) - 1), C137), PRODUCTORES!$A:$A, 0)), "-")))</f>
        <v>Sí</v>
      </c>
      <c r="F137" s="14" t="s">
        <v>46</v>
      </c>
      <c r="G137" s="15">
        <v>2.0</v>
      </c>
      <c r="H137" s="16"/>
    </row>
    <row r="138" ht="15.75" customHeight="1">
      <c r="A138" s="8" t="str">
        <f t="shared" si="1"/>
        <v>ENT-0036</v>
      </c>
      <c r="B138" s="9">
        <v>46280.0</v>
      </c>
      <c r="C138" s="10" t="s">
        <v>336</v>
      </c>
      <c r="D138" s="12" t="str">
        <f t="array" ref="D138">IF(C138="","",IFERROR(INDEX(PRODUCTORES!$B:$B, MATCH(C138, PRODUCTORES!$F:$F, 0)) &amp; " " &amp; INDEX(PRODUCTORES!$C:$C, MATCH(C138, PRODUCTORES!$F:$F, 0)), IFERROR(INDEX(PRODUCTORES!$B:$B, MATCH(C138, PRODUCTORES!$A:$A, 0)) &amp; " " &amp; INDEX(PRODUCTORES!$C:$C, MATCH(C138, PRODUCTORES!$A:$A, 0)), IFERROR(TRIM(MID(C138, SEARCH(" - ", C138) + 3, 100)), "NO ENCONTRADO"))))</f>
        <v>BENITEZ NATALIA</v>
      </c>
      <c r="E138" s="13" t="str">
        <f t="array" ref="E138">IF(C138="","",IFERROR(INDEX(PRODUCTORES!$D:$D, MATCH(C138, PRODUCTORES!$F:$F, 0)), IFERROR(INDEX(PRODUCTORES!$D:$D, MATCH(IF(ISNUMBER(SEARCH(" - ", C138)), LEFT(C138, SEARCH(" - ", C138) - 1), C138), PRODUCTORES!$A:$A, 0)), "-")))</f>
        <v>Sí</v>
      </c>
      <c r="F138" s="14" t="s">
        <v>50</v>
      </c>
      <c r="G138" s="15">
        <v>3.0</v>
      </c>
      <c r="H138" s="16"/>
    </row>
    <row r="139" ht="15.75" customHeight="1">
      <c r="A139" s="8" t="str">
        <f t="shared" si="1"/>
        <v>ENT-0036</v>
      </c>
      <c r="B139" s="9">
        <v>46280.0</v>
      </c>
      <c r="C139" s="10" t="s">
        <v>336</v>
      </c>
      <c r="D139" s="12" t="str">
        <f t="array" ref="D139">IF(C139="","",IFERROR(INDEX(PRODUCTORES!$B:$B, MATCH(C139, PRODUCTORES!$F:$F, 0)) &amp; " " &amp; INDEX(PRODUCTORES!$C:$C, MATCH(C139, PRODUCTORES!$F:$F, 0)), IFERROR(INDEX(PRODUCTORES!$B:$B, MATCH(C139, PRODUCTORES!$A:$A, 0)) &amp; " " &amp; INDEX(PRODUCTORES!$C:$C, MATCH(C139, PRODUCTORES!$A:$A, 0)), IFERROR(TRIM(MID(C139, SEARCH(" - ", C139) + 3, 100)), "NO ENCONTRADO"))))</f>
        <v>BENITEZ NATALIA</v>
      </c>
      <c r="E139" s="13" t="str">
        <f t="array" ref="E139">IF(C139="","",IFERROR(INDEX(PRODUCTORES!$D:$D, MATCH(C139, PRODUCTORES!$F:$F, 0)), IFERROR(INDEX(PRODUCTORES!$D:$D, MATCH(IF(ISNUMBER(SEARCH(" - ", C139)), LEFT(C139, SEARCH(" - ", C139) - 1), C139), PRODUCTORES!$A:$A, 0)), "-")))</f>
        <v>Sí</v>
      </c>
      <c r="F139" s="14" t="s">
        <v>70</v>
      </c>
      <c r="G139" s="15">
        <v>3.0</v>
      </c>
      <c r="H139" s="16"/>
    </row>
    <row r="140" ht="15.75" customHeight="1">
      <c r="A140" s="8" t="str">
        <f t="shared" si="1"/>
        <v>ENT-0037</v>
      </c>
      <c r="B140" s="9">
        <v>46280.0</v>
      </c>
      <c r="C140" s="10" t="s">
        <v>410</v>
      </c>
      <c r="D140" s="12" t="str">
        <f t="array" ref="D140">IF(C140="","",IFERROR(INDEX(PRODUCTORES!$B:$B, MATCH(C140, PRODUCTORES!$F:$F, 0)) &amp; " " &amp; INDEX(PRODUCTORES!$C:$C, MATCH(C140, PRODUCTORES!$F:$F, 0)), IFERROR(INDEX(PRODUCTORES!$B:$B, MATCH(C140, PRODUCTORES!$A:$A, 0)) &amp; " " &amp; INDEX(PRODUCTORES!$C:$C, MATCH(C140, PRODUCTORES!$A:$A, 0)), IFERROR(TRIM(MID(C140, SEARCH(" - ", C140) + 3, 100)), "NO ENCONTRADO"))))</f>
        <v>CARDENAS KARINA</v>
      </c>
      <c r="E140" s="13" t="str">
        <f t="array" ref="E140">IF(C140="","",IFERROR(INDEX(PRODUCTORES!$D:$D, MATCH(C140, PRODUCTORES!$F:$F, 0)), IFERROR(INDEX(PRODUCTORES!$D:$D, MATCH(IF(ISNUMBER(SEARCH(" - ", C140)), LEFT(C140, SEARCH(" - ", C140) - 1), C140), PRODUCTORES!$A:$A, 0)), "-")))</f>
        <v>Sí</v>
      </c>
      <c r="F140" s="14" t="s">
        <v>58</v>
      </c>
      <c r="G140" s="15">
        <v>8.0</v>
      </c>
      <c r="H140" s="16"/>
    </row>
    <row r="141" ht="15.75" customHeight="1">
      <c r="A141" s="8" t="str">
        <f t="shared" si="1"/>
        <v>ENT-0037</v>
      </c>
      <c r="B141" s="9">
        <v>46280.0</v>
      </c>
      <c r="C141" s="10" t="s">
        <v>410</v>
      </c>
      <c r="D141" s="12" t="str">
        <f t="array" ref="D141">IF(C141="","",IFERROR(INDEX(PRODUCTORES!$B:$B, MATCH(C141, PRODUCTORES!$F:$F, 0)) &amp; " " &amp; INDEX(PRODUCTORES!$C:$C, MATCH(C141, PRODUCTORES!$F:$F, 0)), IFERROR(INDEX(PRODUCTORES!$B:$B, MATCH(C141, PRODUCTORES!$A:$A, 0)) &amp; " " &amp; INDEX(PRODUCTORES!$C:$C, MATCH(C141, PRODUCTORES!$A:$A, 0)), IFERROR(TRIM(MID(C141, SEARCH(" - ", C141) + 3, 100)), "NO ENCONTRADO"))))</f>
        <v>CARDENAS KARINA</v>
      </c>
      <c r="E141" s="13" t="str">
        <f t="array" ref="E141">IF(C141="","",IFERROR(INDEX(PRODUCTORES!$D:$D, MATCH(C141, PRODUCTORES!$F:$F, 0)), IFERROR(INDEX(PRODUCTORES!$D:$D, MATCH(IF(ISNUMBER(SEARCH(" - ", C141)), LEFT(C141, SEARCH(" - ", C141) - 1), C141), PRODUCTORES!$A:$A, 0)), "-")))</f>
        <v>Sí</v>
      </c>
      <c r="F141" s="14" t="s">
        <v>70</v>
      </c>
      <c r="G141" s="15">
        <v>1.0</v>
      </c>
      <c r="H141" s="16"/>
    </row>
    <row r="142" ht="15.75" customHeight="1">
      <c r="A142" s="8" t="str">
        <f t="shared" si="1"/>
        <v>ENT-0037</v>
      </c>
      <c r="B142" s="9">
        <v>46280.0</v>
      </c>
      <c r="C142" s="10" t="s">
        <v>410</v>
      </c>
      <c r="D142" s="12" t="str">
        <f t="array" ref="D142">IF(C142="","",IFERROR(INDEX(PRODUCTORES!$B:$B, MATCH(C142, PRODUCTORES!$F:$F, 0)) &amp; " " &amp; INDEX(PRODUCTORES!$C:$C, MATCH(C142, PRODUCTORES!$F:$F, 0)), IFERROR(INDEX(PRODUCTORES!$B:$B, MATCH(C142, PRODUCTORES!$A:$A, 0)) &amp; " " &amp; INDEX(PRODUCTORES!$C:$C, MATCH(C142, PRODUCTORES!$A:$A, 0)), IFERROR(TRIM(MID(C142, SEARCH(" - ", C142) + 3, 100)), "NO ENCONTRADO"))))</f>
        <v>CARDENAS KARINA</v>
      </c>
      <c r="E142" s="13" t="str">
        <f t="array" ref="E142">IF(C142="","",IFERROR(INDEX(PRODUCTORES!$D:$D, MATCH(C142, PRODUCTORES!$F:$F, 0)), IFERROR(INDEX(PRODUCTORES!$D:$D, MATCH(IF(ISNUMBER(SEARCH(" - ", C142)), LEFT(C142, SEARCH(" - ", C142) - 1), C142), PRODUCTORES!$A:$A, 0)), "-")))</f>
        <v>Sí</v>
      </c>
      <c r="F142" s="14" t="s">
        <v>50</v>
      </c>
      <c r="G142" s="15">
        <v>2.0</v>
      </c>
      <c r="H142" s="16"/>
    </row>
    <row r="143" ht="15.75" customHeight="1">
      <c r="A143" s="8" t="str">
        <f t="shared" si="1"/>
        <v>ENT-0038</v>
      </c>
      <c r="B143" s="9">
        <v>46280.0</v>
      </c>
      <c r="C143" s="10" t="s">
        <v>451</v>
      </c>
      <c r="D143" s="12" t="str">
        <f t="array" ref="D143">IF(C143="","",IFERROR(INDEX(PRODUCTORES!$B:$B, MATCH(C143, PRODUCTORES!$F:$F, 0)) &amp; " " &amp; INDEX(PRODUCTORES!$C:$C, MATCH(C143, PRODUCTORES!$F:$F, 0)), IFERROR(INDEX(PRODUCTORES!$B:$B, MATCH(C143, PRODUCTORES!$A:$A, 0)) &amp; " " &amp; INDEX(PRODUCTORES!$C:$C, MATCH(C143, PRODUCTORES!$A:$A, 0)), IFERROR(TRIM(MID(C143, SEARCH(" - ", C143) + 3, 100)), "NO ENCONTRADO"))))</f>
        <v>CEDRON MARCOS</v>
      </c>
      <c r="E143" s="13" t="str">
        <f t="array" ref="E143">IF(C143="","",IFERROR(INDEX(PRODUCTORES!$D:$D, MATCH(C143, PRODUCTORES!$F:$F, 0)), IFERROR(INDEX(PRODUCTORES!$D:$D, MATCH(IF(ISNUMBER(SEARCH(" - ", C143)), LEFT(C143, SEARCH(" - ", C143) - 1), C143), PRODUCTORES!$A:$A, 0)), "-")))</f>
        <v>Sí</v>
      </c>
      <c r="F143" s="14" t="s">
        <v>58</v>
      </c>
      <c r="G143" s="15">
        <v>40.0</v>
      </c>
      <c r="H143" s="16"/>
    </row>
    <row r="144" ht="15.75" customHeight="1">
      <c r="A144" s="8" t="str">
        <f t="shared" si="1"/>
        <v>ENT-0039</v>
      </c>
      <c r="B144" s="9">
        <v>46280.0</v>
      </c>
      <c r="C144" s="10" t="s">
        <v>500</v>
      </c>
      <c r="D144" s="12" t="str">
        <f t="array" ref="D144">IF(C144="","",IFERROR(INDEX(PRODUCTORES!$B:$B, MATCH(C144, PRODUCTORES!$F:$F, 0)) &amp; " " &amp; INDEX(PRODUCTORES!$C:$C, MATCH(C144, PRODUCTORES!$F:$F, 0)), IFERROR(INDEX(PRODUCTORES!$B:$B, MATCH(C144, PRODUCTORES!$A:$A, 0)) &amp; " " &amp; INDEX(PRODUCTORES!$C:$C, MATCH(C144, PRODUCTORES!$A:$A, 0)), IFERROR(TRIM(MID(C144, SEARCH(" - ", C144) + 3, 100)), "NO ENCONTRADO"))))</f>
        <v>CUELLO ISABEL MERCEDES</v>
      </c>
      <c r="E144" s="13" t="str">
        <f t="array" ref="E144">IF(C144="","",IFERROR(INDEX(PRODUCTORES!$D:$D, MATCH(C144, PRODUCTORES!$F:$F, 0)), IFERROR(INDEX(PRODUCTORES!$D:$D, MATCH(IF(ISNUMBER(SEARCH(" - ", C144)), LEFT(C144, SEARCH(" - ", C144) - 1), C144), PRODUCTORES!$A:$A, 0)), "-")))</f>
        <v>Sí</v>
      </c>
      <c r="F144" s="14" t="s">
        <v>58</v>
      </c>
      <c r="G144" s="15">
        <v>4.0</v>
      </c>
      <c r="H144" s="16"/>
    </row>
    <row r="145" ht="15.75" customHeight="1">
      <c r="A145" s="8" t="str">
        <f t="shared" si="1"/>
        <v>ENT-0039</v>
      </c>
      <c r="B145" s="9">
        <v>46280.0</v>
      </c>
      <c r="C145" s="10" t="s">
        <v>500</v>
      </c>
      <c r="D145" s="12" t="str">
        <f t="array" ref="D145">IF(C145="","",IFERROR(INDEX(PRODUCTORES!$B:$B, MATCH(C145, PRODUCTORES!$F:$F, 0)) &amp; " " &amp; INDEX(PRODUCTORES!$C:$C, MATCH(C145, PRODUCTORES!$F:$F, 0)), IFERROR(INDEX(PRODUCTORES!$B:$B, MATCH(C145, PRODUCTORES!$A:$A, 0)) &amp; " " &amp; INDEX(PRODUCTORES!$C:$C, MATCH(C145, PRODUCTORES!$A:$A, 0)), IFERROR(TRIM(MID(C145, SEARCH(" - ", C145) + 3, 100)), "NO ENCONTRADO"))))</f>
        <v>CUELLO ISABEL MERCEDES</v>
      </c>
      <c r="E145" s="13" t="str">
        <f t="array" ref="E145">IF(C145="","",IFERROR(INDEX(PRODUCTORES!$D:$D, MATCH(C145, PRODUCTORES!$F:$F, 0)), IFERROR(INDEX(PRODUCTORES!$D:$D, MATCH(IF(ISNUMBER(SEARCH(" - ", C145)), LEFT(C145, SEARCH(" - ", C145) - 1), C145), PRODUCTORES!$A:$A, 0)), "-")))</f>
        <v>Sí</v>
      </c>
      <c r="F145" s="14" t="s">
        <v>70</v>
      </c>
      <c r="G145" s="15">
        <v>2.0</v>
      </c>
      <c r="H145" s="16"/>
    </row>
    <row r="146" ht="15.75" customHeight="1">
      <c r="A146" s="8" t="str">
        <f t="shared" si="1"/>
        <v>ENT-0040</v>
      </c>
      <c r="B146" s="9">
        <v>46280.0</v>
      </c>
      <c r="C146" s="10" t="s">
        <v>671</v>
      </c>
      <c r="D146" s="12" t="str">
        <f t="array" ref="D146">IF(C146="","",IFERROR(INDEX(PRODUCTORES!$B:$B, MATCH(C146, PRODUCTORES!$F:$F, 0)) &amp; " " &amp; INDEX(PRODUCTORES!$C:$C, MATCH(C146, PRODUCTORES!$F:$F, 0)), IFERROR(INDEX(PRODUCTORES!$B:$B, MATCH(C146, PRODUCTORES!$A:$A, 0)) &amp; " " &amp; INDEX(PRODUCTORES!$C:$C, MATCH(C146, PRODUCTORES!$A:$A, 0)), IFERROR(TRIM(MID(C146, SEARCH(" - ", C146) + 3, 100)), "NO ENCONTRADO"))))</f>
        <v>GOMEZ RITA VERONICA</v>
      </c>
      <c r="E146" s="13" t="str">
        <f t="array" ref="E146">IF(C146="","",IFERROR(INDEX(PRODUCTORES!$D:$D, MATCH(C146, PRODUCTORES!$F:$F, 0)), IFERROR(INDEX(PRODUCTORES!$D:$D, MATCH(IF(ISNUMBER(SEARCH(" - ", C146)), LEFT(C146, SEARCH(" - ", C146) - 1), C146), PRODUCTORES!$A:$A, 0)), "-")))</f>
        <v>Sí</v>
      </c>
      <c r="F146" s="14" t="s">
        <v>58</v>
      </c>
      <c r="G146" s="15">
        <v>3.0</v>
      </c>
      <c r="H146" s="16"/>
    </row>
    <row r="147" ht="15.75" customHeight="1">
      <c r="A147" s="8" t="str">
        <f t="shared" si="1"/>
        <v>ENT-0040</v>
      </c>
      <c r="B147" s="9">
        <v>46280.0</v>
      </c>
      <c r="C147" s="10" t="s">
        <v>671</v>
      </c>
      <c r="D147" s="12" t="str">
        <f t="array" ref="D147">IF(C147="","",IFERROR(INDEX(PRODUCTORES!$B:$B, MATCH(C147, PRODUCTORES!$F:$F, 0)) &amp; " " &amp; INDEX(PRODUCTORES!$C:$C, MATCH(C147, PRODUCTORES!$F:$F, 0)), IFERROR(INDEX(PRODUCTORES!$B:$B, MATCH(C147, PRODUCTORES!$A:$A, 0)) &amp; " " &amp; INDEX(PRODUCTORES!$C:$C, MATCH(C147, PRODUCTORES!$A:$A, 0)), IFERROR(TRIM(MID(C147, SEARCH(" - ", C147) + 3, 100)), "NO ENCONTRADO"))))</f>
        <v>GOMEZ RITA VERONICA</v>
      </c>
      <c r="E147" s="13" t="str">
        <f t="array" ref="E147">IF(C147="","",IFERROR(INDEX(PRODUCTORES!$D:$D, MATCH(C147, PRODUCTORES!$F:$F, 0)), IFERROR(INDEX(PRODUCTORES!$D:$D, MATCH(IF(ISNUMBER(SEARCH(" - ", C147)), LEFT(C147, SEARCH(" - ", C147) - 1), C147), PRODUCTORES!$A:$A, 0)), "-")))</f>
        <v>Sí</v>
      </c>
      <c r="F147" s="14" t="s">
        <v>70</v>
      </c>
      <c r="G147" s="15">
        <v>1.0</v>
      </c>
      <c r="H147" s="16"/>
    </row>
    <row r="148" ht="15.75" customHeight="1">
      <c r="A148" s="8" t="str">
        <f t="shared" si="1"/>
        <v>ENT-0041</v>
      </c>
      <c r="B148" s="9">
        <v>46280.0</v>
      </c>
      <c r="C148" s="10" t="s">
        <v>769</v>
      </c>
      <c r="D148" s="12" t="str">
        <f t="array" ref="D148">IF(C148="","",IFERROR(INDEX(PRODUCTORES!$B:$B, MATCH(C148, PRODUCTORES!$F:$F, 0)) &amp; " " &amp; INDEX(PRODUCTORES!$C:$C, MATCH(C148, PRODUCTORES!$F:$F, 0)), IFERROR(INDEX(PRODUCTORES!$B:$B, MATCH(C148, PRODUCTORES!$A:$A, 0)) &amp; " " &amp; INDEX(PRODUCTORES!$C:$C, MATCH(C148, PRODUCTORES!$A:$A, 0)), IFERROR(TRIM(MID(C148, SEARCH(" - ", C148) + 3, 100)), "NO ENCONTRADO"))))</f>
        <v>HEREDIA ALFREDO JESUS</v>
      </c>
      <c r="E148" s="13" t="str">
        <f t="array" ref="E148">IF(C148="","",IFERROR(INDEX(PRODUCTORES!$D:$D, MATCH(C148, PRODUCTORES!$F:$F, 0)), IFERROR(INDEX(PRODUCTORES!$D:$D, MATCH(IF(ISNUMBER(SEARCH(" - ", C148)), LEFT(C148, SEARCH(" - ", C148) - 1), C148), PRODUCTORES!$A:$A, 0)), "-")))</f>
        <v>Sí</v>
      </c>
      <c r="F148" s="14" t="s">
        <v>58</v>
      </c>
      <c r="G148" s="15">
        <v>1.0</v>
      </c>
      <c r="H148" s="16"/>
    </row>
    <row r="149" ht="15.75" customHeight="1">
      <c r="A149" s="8" t="str">
        <f t="shared" si="1"/>
        <v>ENT-0041</v>
      </c>
      <c r="B149" s="9">
        <v>46280.0</v>
      </c>
      <c r="C149" s="10" t="s">
        <v>769</v>
      </c>
      <c r="D149" s="12" t="str">
        <f t="array" ref="D149">IF(C149="","",IFERROR(INDEX(PRODUCTORES!$B:$B, MATCH(C149, PRODUCTORES!$F:$F, 0)) &amp; " " &amp; INDEX(PRODUCTORES!$C:$C, MATCH(C149, PRODUCTORES!$F:$F, 0)), IFERROR(INDEX(PRODUCTORES!$B:$B, MATCH(C149, PRODUCTORES!$A:$A, 0)) &amp; " " &amp; INDEX(PRODUCTORES!$C:$C, MATCH(C149, PRODUCTORES!$A:$A, 0)), IFERROR(TRIM(MID(C149, SEARCH(" - ", C149) + 3, 100)), "NO ENCONTRADO"))))</f>
        <v>HEREDIA ALFREDO JESUS</v>
      </c>
      <c r="E149" s="13" t="str">
        <f t="array" ref="E149">IF(C149="","",IFERROR(INDEX(PRODUCTORES!$D:$D, MATCH(C149, PRODUCTORES!$F:$F, 0)), IFERROR(INDEX(PRODUCTORES!$D:$D, MATCH(IF(ISNUMBER(SEARCH(" - ", C149)), LEFT(C149, SEARCH(" - ", C149) - 1), C149), PRODUCTORES!$A:$A, 0)), "-")))</f>
        <v>Sí</v>
      </c>
      <c r="F149" s="14" t="s">
        <v>78</v>
      </c>
      <c r="G149" s="15">
        <v>2.0</v>
      </c>
      <c r="H149" s="16"/>
    </row>
    <row r="150" ht="15.75" customHeight="1">
      <c r="A150" s="8" t="str">
        <f t="shared" si="1"/>
        <v>ENT-0041</v>
      </c>
      <c r="B150" s="9">
        <v>46280.0</v>
      </c>
      <c r="C150" s="10" t="s">
        <v>769</v>
      </c>
      <c r="D150" s="12" t="str">
        <f t="array" ref="D150">IF(C150="","",IFERROR(INDEX(PRODUCTORES!$B:$B, MATCH(C150, PRODUCTORES!$F:$F, 0)) &amp; " " &amp; INDEX(PRODUCTORES!$C:$C, MATCH(C150, PRODUCTORES!$F:$F, 0)), IFERROR(INDEX(PRODUCTORES!$B:$B, MATCH(C150, PRODUCTORES!$A:$A, 0)) &amp; " " &amp; INDEX(PRODUCTORES!$C:$C, MATCH(C150, PRODUCTORES!$A:$A, 0)), IFERROR(TRIM(MID(C150, SEARCH(" - ", C150) + 3, 100)), "NO ENCONTRADO"))))</f>
        <v>HEREDIA ALFREDO JESUS</v>
      </c>
      <c r="E150" s="13" t="str">
        <f t="array" ref="E150">IF(C150="","",IFERROR(INDEX(PRODUCTORES!$D:$D, MATCH(C150, PRODUCTORES!$F:$F, 0)), IFERROR(INDEX(PRODUCTORES!$D:$D, MATCH(IF(ISNUMBER(SEARCH(" - ", C150)), LEFT(C150, SEARCH(" - ", C150) - 1), C150), PRODUCTORES!$A:$A, 0)), "-")))</f>
        <v>Sí</v>
      </c>
      <c r="F150" s="14" t="s">
        <v>52</v>
      </c>
      <c r="G150" s="15">
        <v>1.0</v>
      </c>
      <c r="H150" s="16"/>
    </row>
    <row r="151" ht="15.75" customHeight="1">
      <c r="A151" s="8" t="str">
        <f t="shared" si="1"/>
        <v>ENT-0041</v>
      </c>
      <c r="B151" s="9">
        <v>46280.0</v>
      </c>
      <c r="C151" s="10" t="s">
        <v>769</v>
      </c>
      <c r="D151" s="12" t="str">
        <f t="array" ref="D151">IF(C151="","",IFERROR(INDEX(PRODUCTORES!$B:$B, MATCH(C151, PRODUCTORES!$F:$F, 0)) &amp; " " &amp; INDEX(PRODUCTORES!$C:$C, MATCH(C151, PRODUCTORES!$F:$F, 0)), IFERROR(INDEX(PRODUCTORES!$B:$B, MATCH(C151, PRODUCTORES!$A:$A, 0)) &amp; " " &amp; INDEX(PRODUCTORES!$C:$C, MATCH(C151, PRODUCTORES!$A:$A, 0)), IFERROR(TRIM(MID(C151, SEARCH(" - ", C151) + 3, 100)), "NO ENCONTRADO"))))</f>
        <v>HEREDIA ALFREDO JESUS</v>
      </c>
      <c r="E151" s="13" t="str">
        <f t="array" ref="E151">IF(C151="","",IFERROR(INDEX(PRODUCTORES!$D:$D, MATCH(C151, PRODUCTORES!$F:$F, 0)), IFERROR(INDEX(PRODUCTORES!$D:$D, MATCH(IF(ISNUMBER(SEARCH(" - ", C151)), LEFT(C151, SEARCH(" - ", C151) - 1), C151), PRODUCTORES!$A:$A, 0)), "-")))</f>
        <v>Sí</v>
      </c>
      <c r="F151" s="14" t="s">
        <v>70</v>
      </c>
      <c r="G151" s="15">
        <v>1.0</v>
      </c>
      <c r="H151" s="16"/>
    </row>
    <row r="152" ht="15.75" customHeight="1">
      <c r="A152" s="8" t="str">
        <f t="shared" si="1"/>
        <v>ENT-0041</v>
      </c>
      <c r="B152" s="9">
        <v>46280.0</v>
      </c>
      <c r="C152" s="10" t="s">
        <v>769</v>
      </c>
      <c r="D152" s="12" t="str">
        <f t="array" ref="D152">IF(C152="","",IFERROR(INDEX(PRODUCTORES!$B:$B, MATCH(C152, PRODUCTORES!$F:$F, 0)) &amp; " " &amp; INDEX(PRODUCTORES!$C:$C, MATCH(C152, PRODUCTORES!$F:$F, 0)), IFERROR(INDEX(PRODUCTORES!$B:$B, MATCH(C152, PRODUCTORES!$A:$A, 0)) &amp; " " &amp; INDEX(PRODUCTORES!$C:$C, MATCH(C152, PRODUCTORES!$A:$A, 0)), IFERROR(TRIM(MID(C152, SEARCH(" - ", C152) + 3, 100)), "NO ENCONTRADO"))))</f>
        <v>HEREDIA ALFREDO JESUS</v>
      </c>
      <c r="E152" s="13" t="str">
        <f t="array" ref="E152">IF(C152="","",IFERROR(INDEX(PRODUCTORES!$D:$D, MATCH(C152, PRODUCTORES!$F:$F, 0)), IFERROR(INDEX(PRODUCTORES!$D:$D, MATCH(IF(ISNUMBER(SEARCH(" - ", C152)), LEFT(C152, SEARCH(" - ", C152) - 1), C152), PRODUCTORES!$A:$A, 0)), "-")))</f>
        <v>Sí</v>
      </c>
      <c r="F152" s="14" t="s">
        <v>11</v>
      </c>
      <c r="G152" s="15">
        <v>1.0</v>
      </c>
      <c r="H152" s="16"/>
    </row>
    <row r="153" ht="15.75" customHeight="1">
      <c r="A153" s="8" t="str">
        <f t="shared" si="1"/>
        <v>ENT-0041</v>
      </c>
      <c r="B153" s="9">
        <v>46280.0</v>
      </c>
      <c r="C153" s="10" t="s">
        <v>769</v>
      </c>
      <c r="D153" s="12" t="str">
        <f t="array" ref="D153">IF(C153="","",IFERROR(INDEX(PRODUCTORES!$B:$B, MATCH(C153, PRODUCTORES!$F:$F, 0)) &amp; " " &amp; INDEX(PRODUCTORES!$C:$C, MATCH(C153, PRODUCTORES!$F:$F, 0)), IFERROR(INDEX(PRODUCTORES!$B:$B, MATCH(C153, PRODUCTORES!$A:$A, 0)) &amp; " " &amp; INDEX(PRODUCTORES!$C:$C, MATCH(C153, PRODUCTORES!$A:$A, 0)), IFERROR(TRIM(MID(C153, SEARCH(" - ", C153) + 3, 100)), "NO ENCONTRADO"))))</f>
        <v>HEREDIA ALFREDO JESUS</v>
      </c>
      <c r="E153" s="13" t="str">
        <f t="array" ref="E153">IF(C153="","",IFERROR(INDEX(PRODUCTORES!$D:$D, MATCH(C153, PRODUCTORES!$F:$F, 0)), IFERROR(INDEX(PRODUCTORES!$D:$D, MATCH(IF(ISNUMBER(SEARCH(" - ", C153)), LEFT(C153, SEARCH(" - ", C153) - 1), C153), PRODUCTORES!$A:$A, 0)), "-")))</f>
        <v>Sí</v>
      </c>
      <c r="F153" s="14" t="s">
        <v>46</v>
      </c>
      <c r="G153" s="15">
        <v>1.0</v>
      </c>
      <c r="H153" s="16"/>
    </row>
    <row r="154" ht="15.75" customHeight="1">
      <c r="A154" s="8" t="str">
        <f t="shared" si="1"/>
        <v>ENT-0041</v>
      </c>
      <c r="B154" s="9">
        <v>46280.0</v>
      </c>
      <c r="C154" s="10" t="s">
        <v>769</v>
      </c>
      <c r="D154" s="12" t="str">
        <f t="array" ref="D154">IF(C154="","",IFERROR(INDEX(PRODUCTORES!$B:$B, MATCH(C154, PRODUCTORES!$F:$F, 0)) &amp; " " &amp; INDEX(PRODUCTORES!$C:$C, MATCH(C154, PRODUCTORES!$F:$F, 0)), IFERROR(INDEX(PRODUCTORES!$B:$B, MATCH(C154, PRODUCTORES!$A:$A, 0)) &amp; " " &amp; INDEX(PRODUCTORES!$C:$C, MATCH(C154, PRODUCTORES!$A:$A, 0)), IFERROR(TRIM(MID(C154, SEARCH(" - ", C154) + 3, 100)), "NO ENCONTRADO"))))</f>
        <v>HEREDIA ALFREDO JESUS</v>
      </c>
      <c r="E154" s="13" t="str">
        <f t="array" ref="E154">IF(C154="","",IFERROR(INDEX(PRODUCTORES!$D:$D, MATCH(C154, PRODUCTORES!$F:$F, 0)), IFERROR(INDEX(PRODUCTORES!$D:$D, MATCH(IF(ISNUMBER(SEARCH(" - ", C154)), LEFT(C154, SEARCH(" - ", C154) - 1), C154), PRODUCTORES!$A:$A, 0)), "-")))</f>
        <v>Sí</v>
      </c>
      <c r="F154" s="14" t="s">
        <v>56</v>
      </c>
      <c r="G154" s="15">
        <v>1.0</v>
      </c>
      <c r="H154" s="16"/>
    </row>
    <row r="155" ht="15.75" customHeight="1">
      <c r="A155" s="8" t="str">
        <f t="shared" si="1"/>
        <v>ENT-0042</v>
      </c>
      <c r="B155" s="9">
        <v>46280.0</v>
      </c>
      <c r="C155" s="10" t="s">
        <v>796</v>
      </c>
      <c r="D155" s="12" t="str">
        <f t="array" ref="D155">IF(C155="","",IFERROR(INDEX(PRODUCTORES!$B:$B, MATCH(C155, PRODUCTORES!$F:$F, 0)) &amp; " " &amp; INDEX(PRODUCTORES!$C:$C, MATCH(C155, PRODUCTORES!$F:$F, 0)), IFERROR(INDEX(PRODUCTORES!$B:$B, MATCH(C155, PRODUCTORES!$A:$A, 0)) &amp; " " &amp; INDEX(PRODUCTORES!$C:$C, MATCH(C155, PRODUCTORES!$A:$A, 0)), IFERROR(TRIM(MID(C155, SEARCH(" - ", C155) + 3, 100)), "NO ENCONTRADO"))))</f>
        <v>IGOR BALCAZAR MARIA CLOTILDE</v>
      </c>
      <c r="E155" s="13" t="str">
        <f t="array" ref="E155">IF(C155="","",IFERROR(INDEX(PRODUCTORES!$D:$D, MATCH(C155, PRODUCTORES!$F:$F, 0)), IFERROR(INDEX(PRODUCTORES!$D:$D, MATCH(IF(ISNUMBER(SEARCH(" - ", C155)), LEFT(C155, SEARCH(" - ", C155) - 1), C155), PRODUCTORES!$A:$A, 0)), "-")))</f>
        <v>Sí</v>
      </c>
      <c r="F155" s="14" t="s">
        <v>58</v>
      </c>
      <c r="G155" s="15">
        <v>3.0</v>
      </c>
      <c r="H155" s="16"/>
    </row>
    <row r="156" ht="15.75" customHeight="1">
      <c r="A156" s="8" t="str">
        <f t="shared" si="1"/>
        <v>ENT-0042</v>
      </c>
      <c r="B156" s="9">
        <v>46280.0</v>
      </c>
      <c r="C156" s="10" t="s">
        <v>796</v>
      </c>
      <c r="D156" s="12" t="str">
        <f t="array" ref="D156">IF(C156="","",IFERROR(INDEX(PRODUCTORES!$B:$B, MATCH(C156, PRODUCTORES!$F:$F, 0)) &amp; " " &amp; INDEX(PRODUCTORES!$C:$C, MATCH(C156, PRODUCTORES!$F:$F, 0)), IFERROR(INDEX(PRODUCTORES!$B:$B, MATCH(C156, PRODUCTORES!$A:$A, 0)) &amp; " " &amp; INDEX(PRODUCTORES!$C:$C, MATCH(C156, PRODUCTORES!$A:$A, 0)), IFERROR(TRIM(MID(C156, SEARCH(" - ", C156) + 3, 100)), "NO ENCONTRADO"))))</f>
        <v>IGOR BALCAZAR MARIA CLOTILDE</v>
      </c>
      <c r="E156" s="13" t="str">
        <f t="array" ref="E156">IF(C156="","",IFERROR(INDEX(PRODUCTORES!$D:$D, MATCH(C156, PRODUCTORES!$F:$F, 0)), IFERROR(INDEX(PRODUCTORES!$D:$D, MATCH(IF(ISNUMBER(SEARCH(" - ", C156)), LEFT(C156, SEARCH(" - ", C156) - 1), C156), PRODUCTORES!$A:$A, 0)), "-")))</f>
        <v>Sí</v>
      </c>
      <c r="F156" s="14" t="s">
        <v>70</v>
      </c>
      <c r="G156" s="15">
        <v>1.0</v>
      </c>
      <c r="H156" s="16"/>
    </row>
    <row r="157" ht="15.75" customHeight="1">
      <c r="A157" s="8" t="str">
        <f t="shared" si="1"/>
        <v>ENT-0042</v>
      </c>
      <c r="B157" s="9">
        <v>46280.0</v>
      </c>
      <c r="C157" s="10" t="s">
        <v>796</v>
      </c>
      <c r="D157" s="12" t="str">
        <f t="array" ref="D157">IF(C157="","",IFERROR(INDEX(PRODUCTORES!$B:$B, MATCH(C157, PRODUCTORES!$F:$F, 0)) &amp; " " &amp; INDEX(PRODUCTORES!$C:$C, MATCH(C157, PRODUCTORES!$F:$F, 0)), IFERROR(INDEX(PRODUCTORES!$B:$B, MATCH(C157, PRODUCTORES!$A:$A, 0)) &amp; " " &amp; INDEX(PRODUCTORES!$C:$C, MATCH(C157, PRODUCTORES!$A:$A, 0)), IFERROR(TRIM(MID(C157, SEARCH(" - ", C157) + 3, 100)), "NO ENCONTRADO"))))</f>
        <v>IGOR BALCAZAR MARIA CLOTILDE</v>
      </c>
      <c r="E157" s="13" t="str">
        <f t="array" ref="E157">IF(C157="","",IFERROR(INDEX(PRODUCTORES!$D:$D, MATCH(C157, PRODUCTORES!$F:$F, 0)), IFERROR(INDEX(PRODUCTORES!$D:$D, MATCH(IF(ISNUMBER(SEARCH(" - ", C157)), LEFT(C157, SEARCH(" - ", C157) - 1), C157), PRODUCTORES!$A:$A, 0)), "-")))</f>
        <v>Sí</v>
      </c>
      <c r="F157" s="14" t="s">
        <v>50</v>
      </c>
      <c r="G157" s="15">
        <v>1.0</v>
      </c>
      <c r="H157" s="16"/>
    </row>
    <row r="158" ht="15.75" customHeight="1">
      <c r="A158" s="8" t="str">
        <f t="shared" si="1"/>
        <v>ENT-0042</v>
      </c>
      <c r="B158" s="9">
        <v>46280.0</v>
      </c>
      <c r="C158" s="10" t="s">
        <v>796</v>
      </c>
      <c r="D158" s="12" t="str">
        <f t="array" ref="D158">IF(C158="","",IFERROR(INDEX(PRODUCTORES!$B:$B, MATCH(C158, PRODUCTORES!$F:$F, 0)) &amp; " " &amp; INDEX(PRODUCTORES!$C:$C, MATCH(C158, PRODUCTORES!$F:$F, 0)), IFERROR(INDEX(PRODUCTORES!$B:$B, MATCH(C158, PRODUCTORES!$A:$A, 0)) &amp; " " &amp; INDEX(PRODUCTORES!$C:$C, MATCH(C158, PRODUCTORES!$A:$A, 0)), IFERROR(TRIM(MID(C158, SEARCH(" - ", C158) + 3, 100)), "NO ENCONTRADO"))))</f>
        <v>IGOR BALCAZAR MARIA CLOTILDE</v>
      </c>
      <c r="E158" s="13" t="str">
        <f t="array" ref="E158">IF(C158="","",IFERROR(INDEX(PRODUCTORES!$D:$D, MATCH(C158, PRODUCTORES!$F:$F, 0)), IFERROR(INDEX(PRODUCTORES!$D:$D, MATCH(IF(ISNUMBER(SEARCH(" - ", C158)), LEFT(C158, SEARCH(" - ", C158) - 1), C158), PRODUCTORES!$A:$A, 0)), "-")))</f>
        <v>Sí</v>
      </c>
      <c r="F158" s="14" t="s">
        <v>81</v>
      </c>
      <c r="G158" s="15">
        <v>1.0</v>
      </c>
      <c r="H158" s="16"/>
    </row>
    <row r="159" ht="15.75" customHeight="1">
      <c r="A159" s="8" t="str">
        <f t="shared" si="1"/>
        <v>ENT-0043</v>
      </c>
      <c r="B159" s="9">
        <v>46280.0</v>
      </c>
      <c r="C159" s="10" t="s">
        <v>871</v>
      </c>
      <c r="D159" s="12" t="str">
        <f t="array" ref="D159">IF(C159="","",IFERROR(INDEX(PRODUCTORES!$B:$B, MATCH(C159, PRODUCTORES!$F:$F, 0)) &amp; " " &amp; INDEX(PRODUCTORES!$C:$C, MATCH(C159, PRODUCTORES!$F:$F, 0)), IFERROR(INDEX(PRODUCTORES!$B:$B, MATCH(C159, PRODUCTORES!$A:$A, 0)) &amp; " " &amp; INDEX(PRODUCTORES!$C:$C, MATCH(C159, PRODUCTORES!$A:$A, 0)), IFERROR(TRIM(MID(C159, SEARCH(" - ", C159) + 3, 100)), "NO ENCONTRADO"))))</f>
        <v>LICANTICA PEDRO</v>
      </c>
      <c r="E159" s="13" t="str">
        <f t="array" ref="E159">IF(C159="","",IFERROR(INDEX(PRODUCTORES!$D:$D, MATCH(C159, PRODUCTORES!$F:$F, 0)), IFERROR(INDEX(PRODUCTORES!$D:$D, MATCH(IF(ISNUMBER(SEARCH(" - ", C159)), LEFT(C159, SEARCH(" - ", C159) - 1), C159), PRODUCTORES!$A:$A, 0)), "-")))</f>
        <v>Sí</v>
      </c>
      <c r="F159" s="14" t="s">
        <v>58</v>
      </c>
      <c r="G159" s="15">
        <v>2.0</v>
      </c>
      <c r="H159" s="16"/>
    </row>
    <row r="160" ht="15.75" customHeight="1">
      <c r="A160" s="8" t="str">
        <f t="shared" si="1"/>
        <v>ENT-0043</v>
      </c>
      <c r="B160" s="9">
        <v>46280.0</v>
      </c>
      <c r="C160" s="10" t="s">
        <v>871</v>
      </c>
      <c r="D160" s="12" t="str">
        <f t="array" ref="D160">IF(C160="","",IFERROR(INDEX(PRODUCTORES!$B:$B, MATCH(C160, PRODUCTORES!$F:$F, 0)) &amp; " " &amp; INDEX(PRODUCTORES!$C:$C, MATCH(C160, PRODUCTORES!$F:$F, 0)), IFERROR(INDEX(PRODUCTORES!$B:$B, MATCH(C160, PRODUCTORES!$A:$A, 0)) &amp; " " &amp; INDEX(PRODUCTORES!$C:$C, MATCH(C160, PRODUCTORES!$A:$A, 0)), IFERROR(TRIM(MID(C160, SEARCH(" - ", C160) + 3, 100)), "NO ENCONTRADO"))))</f>
        <v>LICANTICA PEDRO</v>
      </c>
      <c r="E160" s="13" t="str">
        <f t="array" ref="E160">IF(C160="","",IFERROR(INDEX(PRODUCTORES!$D:$D, MATCH(C160, PRODUCTORES!$F:$F, 0)), IFERROR(INDEX(PRODUCTORES!$D:$D, MATCH(IF(ISNUMBER(SEARCH(" - ", C160)), LEFT(C160, SEARCH(" - ", C160) - 1), C160), PRODUCTORES!$A:$A, 0)), "-")))</f>
        <v>Sí</v>
      </c>
      <c r="F160" s="14" t="s">
        <v>46</v>
      </c>
      <c r="G160" s="15">
        <v>2.0</v>
      </c>
      <c r="H160" s="16"/>
    </row>
    <row r="161" ht="15.75" customHeight="1">
      <c r="A161" s="8" t="str">
        <f t="shared" si="1"/>
        <v>ENT-0043</v>
      </c>
      <c r="B161" s="9">
        <v>46280.0</v>
      </c>
      <c r="C161" s="10" t="s">
        <v>871</v>
      </c>
      <c r="D161" s="12" t="str">
        <f t="array" ref="D161">IF(C161="","",IFERROR(INDEX(PRODUCTORES!$B:$B, MATCH(C161, PRODUCTORES!$F:$F, 0)) &amp; " " &amp; INDEX(PRODUCTORES!$C:$C, MATCH(C161, PRODUCTORES!$F:$F, 0)), IFERROR(INDEX(PRODUCTORES!$B:$B, MATCH(C161, PRODUCTORES!$A:$A, 0)) &amp; " " &amp; INDEX(PRODUCTORES!$C:$C, MATCH(C161, PRODUCTORES!$A:$A, 0)), IFERROR(TRIM(MID(C161, SEARCH(" - ", C161) + 3, 100)), "NO ENCONTRADO"))))</f>
        <v>LICANTICA PEDRO</v>
      </c>
      <c r="E161" s="13" t="str">
        <f t="array" ref="E161">IF(C161="","",IFERROR(INDEX(PRODUCTORES!$D:$D, MATCH(C161, PRODUCTORES!$F:$F, 0)), IFERROR(INDEX(PRODUCTORES!$D:$D, MATCH(IF(ISNUMBER(SEARCH(" - ", C161)), LEFT(C161, SEARCH(" - ", C161) - 1), C161), PRODUCTORES!$A:$A, 0)), "-")))</f>
        <v>Sí</v>
      </c>
      <c r="F161" s="14" t="s">
        <v>11</v>
      </c>
      <c r="G161" s="15">
        <v>2.0</v>
      </c>
      <c r="H161" s="16"/>
    </row>
    <row r="162" ht="15.75" customHeight="1">
      <c r="A162" s="8" t="str">
        <f t="shared" si="1"/>
        <v>ENT-0043</v>
      </c>
      <c r="B162" s="9">
        <v>46280.0</v>
      </c>
      <c r="C162" s="10" t="s">
        <v>871</v>
      </c>
      <c r="D162" s="12" t="str">
        <f t="array" ref="D162">IF(C162="","",IFERROR(INDEX(PRODUCTORES!$B:$B, MATCH(C162, PRODUCTORES!$F:$F, 0)) &amp; " " &amp; INDEX(PRODUCTORES!$C:$C, MATCH(C162, PRODUCTORES!$F:$F, 0)), IFERROR(INDEX(PRODUCTORES!$B:$B, MATCH(C162, PRODUCTORES!$A:$A, 0)) &amp; " " &amp; INDEX(PRODUCTORES!$C:$C, MATCH(C162, PRODUCTORES!$A:$A, 0)), IFERROR(TRIM(MID(C162, SEARCH(" - ", C162) + 3, 100)), "NO ENCONTRADO"))))</f>
        <v>LICANTICA PEDRO</v>
      </c>
      <c r="E162" s="13" t="str">
        <f t="array" ref="E162">IF(C162="","",IFERROR(INDEX(PRODUCTORES!$D:$D, MATCH(C162, PRODUCTORES!$F:$F, 0)), IFERROR(INDEX(PRODUCTORES!$D:$D, MATCH(IF(ISNUMBER(SEARCH(" - ", C162)), LEFT(C162, SEARCH(" - ", C162) - 1), C162), PRODUCTORES!$A:$A, 0)), "-")))</f>
        <v>Sí</v>
      </c>
      <c r="F162" s="14" t="s">
        <v>70</v>
      </c>
      <c r="G162" s="15">
        <v>1.0</v>
      </c>
      <c r="H162" s="16"/>
    </row>
    <row r="163" ht="15.75" customHeight="1">
      <c r="A163" s="8" t="str">
        <f t="shared" si="1"/>
        <v>ENT-0043</v>
      </c>
      <c r="B163" s="9">
        <v>46280.0</v>
      </c>
      <c r="C163" s="10" t="s">
        <v>871</v>
      </c>
      <c r="D163" s="12" t="str">
        <f t="array" ref="D163">IF(C163="","",IFERROR(INDEX(PRODUCTORES!$B:$B, MATCH(C163, PRODUCTORES!$F:$F, 0)) &amp; " " &amp; INDEX(PRODUCTORES!$C:$C, MATCH(C163, PRODUCTORES!$F:$F, 0)), IFERROR(INDEX(PRODUCTORES!$B:$B, MATCH(C163, PRODUCTORES!$A:$A, 0)) &amp; " " &amp; INDEX(PRODUCTORES!$C:$C, MATCH(C163, PRODUCTORES!$A:$A, 0)), IFERROR(TRIM(MID(C163, SEARCH(" - ", C163) + 3, 100)), "NO ENCONTRADO"))))</f>
        <v>LICANTICA PEDRO</v>
      </c>
      <c r="E163" s="13" t="str">
        <f t="array" ref="E163">IF(C163="","",IFERROR(INDEX(PRODUCTORES!$D:$D, MATCH(C163, PRODUCTORES!$F:$F, 0)), IFERROR(INDEX(PRODUCTORES!$D:$D, MATCH(IF(ISNUMBER(SEARCH(" - ", C163)), LEFT(C163, SEARCH(" - ", C163) - 1), C163), PRODUCTORES!$A:$A, 0)), "-")))</f>
        <v>Sí</v>
      </c>
      <c r="F163" s="14" t="s">
        <v>81</v>
      </c>
      <c r="G163" s="15">
        <v>2.0</v>
      </c>
      <c r="H163" s="16"/>
    </row>
    <row r="164" ht="15.75" customHeight="1">
      <c r="A164" s="8" t="str">
        <f t="shared" si="1"/>
        <v>ENT-0043</v>
      </c>
      <c r="B164" s="9">
        <v>46280.0</v>
      </c>
      <c r="C164" s="10" t="s">
        <v>871</v>
      </c>
      <c r="D164" s="12" t="str">
        <f t="array" ref="D164">IF(C164="","",IFERROR(INDEX(PRODUCTORES!$B:$B, MATCH(C164, PRODUCTORES!$F:$F, 0)) &amp; " " &amp; INDEX(PRODUCTORES!$C:$C, MATCH(C164, PRODUCTORES!$F:$F, 0)), IFERROR(INDEX(PRODUCTORES!$B:$B, MATCH(C164, PRODUCTORES!$A:$A, 0)) &amp; " " &amp; INDEX(PRODUCTORES!$C:$C, MATCH(C164, PRODUCTORES!$A:$A, 0)), IFERROR(TRIM(MID(C164, SEARCH(" - ", C164) + 3, 100)), "NO ENCONTRADO"))))</f>
        <v>LICANTICA PEDRO</v>
      </c>
      <c r="E164" s="13" t="str">
        <f t="array" ref="E164">IF(C164="","",IFERROR(INDEX(PRODUCTORES!$D:$D, MATCH(C164, PRODUCTORES!$F:$F, 0)), IFERROR(INDEX(PRODUCTORES!$D:$D, MATCH(IF(ISNUMBER(SEARCH(" - ", C164)), LEFT(C164, SEARCH(" - ", C164) - 1), C164), PRODUCTORES!$A:$A, 0)), "-")))</f>
        <v>Sí</v>
      </c>
      <c r="F164" s="14" t="s">
        <v>50</v>
      </c>
      <c r="G164" s="15">
        <v>2.0</v>
      </c>
      <c r="H164" s="16"/>
    </row>
    <row r="165" ht="15.75" customHeight="1">
      <c r="A165" s="8" t="str">
        <f t="shared" si="1"/>
        <v>ENT-0043</v>
      </c>
      <c r="B165" s="9">
        <v>46280.0</v>
      </c>
      <c r="C165" s="10" t="s">
        <v>871</v>
      </c>
      <c r="D165" s="12" t="str">
        <f t="array" ref="D165">IF(C165="","",IFERROR(INDEX(PRODUCTORES!$B:$B, MATCH(C165, PRODUCTORES!$F:$F, 0)) &amp; " " &amp; INDEX(PRODUCTORES!$C:$C, MATCH(C165, PRODUCTORES!$F:$F, 0)), IFERROR(INDEX(PRODUCTORES!$B:$B, MATCH(C165, PRODUCTORES!$A:$A, 0)) &amp; " " &amp; INDEX(PRODUCTORES!$C:$C, MATCH(C165, PRODUCTORES!$A:$A, 0)), IFERROR(TRIM(MID(C165, SEARCH(" - ", C165) + 3, 100)), "NO ENCONTRADO"))))</f>
        <v>LICANTICA PEDRO</v>
      </c>
      <c r="E165" s="13" t="str">
        <f t="array" ref="E165">IF(C165="","",IFERROR(INDEX(PRODUCTORES!$D:$D, MATCH(C165, PRODUCTORES!$F:$F, 0)), IFERROR(INDEX(PRODUCTORES!$D:$D, MATCH(IF(ISNUMBER(SEARCH(" - ", C165)), LEFT(C165, SEARCH(" - ", C165) - 1), C165), PRODUCTORES!$A:$A, 0)), "-")))</f>
        <v>Sí</v>
      </c>
      <c r="F165" s="14" t="s">
        <v>78</v>
      </c>
      <c r="G165" s="15">
        <v>2.0</v>
      </c>
      <c r="H165" s="16"/>
    </row>
    <row r="166" ht="15.75" customHeight="1">
      <c r="A166" s="8" t="str">
        <f t="shared" si="1"/>
        <v>ENT-0043</v>
      </c>
      <c r="B166" s="9">
        <v>46280.0</v>
      </c>
      <c r="C166" s="10" t="s">
        <v>871</v>
      </c>
      <c r="D166" s="12" t="str">
        <f t="array" ref="D166">IF(C166="","",IFERROR(INDEX(PRODUCTORES!$B:$B, MATCH(C166, PRODUCTORES!$F:$F, 0)) &amp; " " &amp; INDEX(PRODUCTORES!$C:$C, MATCH(C166, PRODUCTORES!$F:$F, 0)), IFERROR(INDEX(PRODUCTORES!$B:$B, MATCH(C166, PRODUCTORES!$A:$A, 0)) &amp; " " &amp; INDEX(PRODUCTORES!$C:$C, MATCH(C166, PRODUCTORES!$A:$A, 0)), IFERROR(TRIM(MID(C166, SEARCH(" - ", C166) + 3, 100)), "NO ENCONTRADO"))))</f>
        <v>LICANTICA PEDRO</v>
      </c>
      <c r="E166" s="13" t="str">
        <f t="array" ref="E166">IF(C166="","",IFERROR(INDEX(PRODUCTORES!$D:$D, MATCH(C166, PRODUCTORES!$F:$F, 0)), IFERROR(INDEX(PRODUCTORES!$D:$D, MATCH(IF(ISNUMBER(SEARCH(" - ", C166)), LEFT(C166, SEARCH(" - ", C166) - 1), C166), PRODUCTORES!$A:$A, 0)), "-")))</f>
        <v>Sí</v>
      </c>
      <c r="F166" s="14" t="s">
        <v>56</v>
      </c>
      <c r="G166" s="15">
        <v>2.0</v>
      </c>
      <c r="H166" s="16"/>
    </row>
    <row r="167" ht="15.75" customHeight="1">
      <c r="A167" s="8" t="str">
        <f t="shared" si="1"/>
        <v>ENT-0043</v>
      </c>
      <c r="B167" s="9">
        <v>46280.0</v>
      </c>
      <c r="C167" s="10" t="s">
        <v>871</v>
      </c>
      <c r="D167" s="12" t="str">
        <f t="array" ref="D167">IF(C167="","",IFERROR(INDEX(PRODUCTORES!$B:$B, MATCH(C167, PRODUCTORES!$F:$F, 0)) &amp; " " &amp; INDEX(PRODUCTORES!$C:$C, MATCH(C167, PRODUCTORES!$F:$F, 0)), IFERROR(INDEX(PRODUCTORES!$B:$B, MATCH(C167, PRODUCTORES!$A:$A, 0)) &amp; " " &amp; INDEX(PRODUCTORES!$C:$C, MATCH(C167, PRODUCTORES!$A:$A, 0)), IFERROR(TRIM(MID(C167, SEARCH(" - ", C167) + 3, 100)), "NO ENCONTRADO"))))</f>
        <v>LICANTICA PEDRO</v>
      </c>
      <c r="E167" s="13" t="str">
        <f t="array" ref="E167">IF(C167="","",IFERROR(INDEX(PRODUCTORES!$D:$D, MATCH(C167, PRODUCTORES!$F:$F, 0)), IFERROR(INDEX(PRODUCTORES!$D:$D, MATCH(IF(ISNUMBER(SEARCH(" - ", C167)), LEFT(C167, SEARCH(" - ", C167) - 1), C167), PRODUCTORES!$A:$A, 0)), "-")))</f>
        <v>Sí</v>
      </c>
      <c r="F167" s="14" t="s">
        <v>85</v>
      </c>
      <c r="G167" s="15">
        <v>2.0</v>
      </c>
      <c r="H167" s="16"/>
    </row>
    <row r="168" ht="15.75" customHeight="1">
      <c r="A168" s="8" t="str">
        <f t="shared" si="1"/>
        <v>ENT-0044</v>
      </c>
      <c r="B168" s="9">
        <v>46280.0</v>
      </c>
      <c r="C168" s="10" t="s">
        <v>906</v>
      </c>
      <c r="D168" s="12" t="str">
        <f t="array" ref="D168">IF(C168="","",IFERROR(INDEX(PRODUCTORES!$B:$B, MATCH(C168, PRODUCTORES!$F:$F, 0)) &amp; " " &amp; INDEX(PRODUCTORES!$C:$C, MATCH(C168, PRODUCTORES!$F:$F, 0)), IFERROR(INDEX(PRODUCTORES!$B:$B, MATCH(C168, PRODUCTORES!$A:$A, 0)) &amp; " " &amp; INDEX(PRODUCTORES!$C:$C, MATCH(C168, PRODUCTORES!$A:$A, 0)), IFERROR(TRIM(MID(C168, SEARCH(" - ", C168) + 3, 100)), "NO ENCONTRADO"))))</f>
        <v>MALDONADO ANGEL DAVID</v>
      </c>
      <c r="E168" s="13" t="str">
        <f t="array" ref="E168">IF(C168="","",IFERROR(INDEX(PRODUCTORES!$D:$D, MATCH(C168, PRODUCTORES!$F:$F, 0)), IFERROR(INDEX(PRODUCTORES!$D:$D, MATCH(IF(ISNUMBER(SEARCH(" - ", C168)), LEFT(C168, SEARCH(" - ", C168) - 1), C168), PRODUCTORES!$A:$A, 0)), "-")))</f>
        <v>Sí</v>
      </c>
      <c r="F168" s="14" t="s">
        <v>58</v>
      </c>
      <c r="G168" s="15">
        <v>5.0</v>
      </c>
      <c r="H168" s="16"/>
    </row>
    <row r="169" ht="15.75" customHeight="1">
      <c r="A169" s="8" t="str">
        <f t="shared" si="1"/>
        <v>ENT-0044</v>
      </c>
      <c r="B169" s="9">
        <v>46280.0</v>
      </c>
      <c r="C169" s="10" t="s">
        <v>906</v>
      </c>
      <c r="D169" s="12" t="str">
        <f t="array" ref="D169">IF(C169="","",IFERROR(INDEX(PRODUCTORES!$B:$B, MATCH(C169, PRODUCTORES!$F:$F, 0)) &amp; " " &amp; INDEX(PRODUCTORES!$C:$C, MATCH(C169, PRODUCTORES!$F:$F, 0)), IFERROR(INDEX(PRODUCTORES!$B:$B, MATCH(C169, PRODUCTORES!$A:$A, 0)) &amp; " " &amp; INDEX(PRODUCTORES!$C:$C, MATCH(C169, PRODUCTORES!$A:$A, 0)), IFERROR(TRIM(MID(C169, SEARCH(" - ", C169) + 3, 100)), "NO ENCONTRADO"))))</f>
        <v>MALDONADO ANGEL DAVID</v>
      </c>
      <c r="E169" s="13" t="str">
        <f t="array" ref="E169">IF(C169="","",IFERROR(INDEX(PRODUCTORES!$D:$D, MATCH(C169, PRODUCTORES!$F:$F, 0)), IFERROR(INDEX(PRODUCTORES!$D:$D, MATCH(IF(ISNUMBER(SEARCH(" - ", C169)), LEFT(C169, SEARCH(" - ", C169) - 1), C169), PRODUCTORES!$A:$A, 0)), "-")))</f>
        <v>Sí</v>
      </c>
      <c r="F169" s="14" t="s">
        <v>78</v>
      </c>
      <c r="G169" s="15">
        <v>2.0</v>
      </c>
      <c r="H169" s="16"/>
    </row>
    <row r="170" ht="15.75" customHeight="1">
      <c r="A170" s="8" t="str">
        <f t="shared" si="1"/>
        <v>ENT-0044</v>
      </c>
      <c r="B170" s="9">
        <v>46280.0</v>
      </c>
      <c r="C170" s="10" t="s">
        <v>906</v>
      </c>
      <c r="D170" s="12" t="str">
        <f t="array" ref="D170">IF(C170="","",IFERROR(INDEX(PRODUCTORES!$B:$B, MATCH(C170, PRODUCTORES!$F:$F, 0)) &amp; " " &amp; INDEX(PRODUCTORES!$C:$C, MATCH(C170, PRODUCTORES!$F:$F, 0)), IFERROR(INDEX(PRODUCTORES!$B:$B, MATCH(C170, PRODUCTORES!$A:$A, 0)) &amp; " " &amp; INDEX(PRODUCTORES!$C:$C, MATCH(C170, PRODUCTORES!$A:$A, 0)), IFERROR(TRIM(MID(C170, SEARCH(" - ", C170) + 3, 100)), "NO ENCONTRADO"))))</f>
        <v>MALDONADO ANGEL DAVID</v>
      </c>
      <c r="E170" s="13" t="str">
        <f t="array" ref="E170">IF(C170="","",IFERROR(INDEX(PRODUCTORES!$D:$D, MATCH(C170, PRODUCTORES!$F:$F, 0)), IFERROR(INDEX(PRODUCTORES!$D:$D, MATCH(IF(ISNUMBER(SEARCH(" - ", C170)), LEFT(C170, SEARCH(" - ", C170) - 1), C170), PRODUCTORES!$A:$A, 0)), "-")))</f>
        <v>Sí</v>
      </c>
      <c r="F170" s="14" t="s">
        <v>70</v>
      </c>
      <c r="G170" s="15">
        <v>2.0</v>
      </c>
      <c r="H170" s="16"/>
    </row>
    <row r="171" ht="15.75" customHeight="1">
      <c r="A171" s="8" t="str">
        <f t="shared" si="1"/>
        <v>ENT-0044</v>
      </c>
      <c r="B171" s="9">
        <v>46280.0</v>
      </c>
      <c r="C171" s="10" t="s">
        <v>906</v>
      </c>
      <c r="D171" s="12" t="str">
        <f t="array" ref="D171">IF(C171="","",IFERROR(INDEX(PRODUCTORES!$B:$B, MATCH(C171, PRODUCTORES!$F:$F, 0)) &amp; " " &amp; INDEX(PRODUCTORES!$C:$C, MATCH(C171, PRODUCTORES!$F:$F, 0)), IFERROR(INDEX(PRODUCTORES!$B:$B, MATCH(C171, PRODUCTORES!$A:$A, 0)) &amp; " " &amp; INDEX(PRODUCTORES!$C:$C, MATCH(C171, PRODUCTORES!$A:$A, 0)), IFERROR(TRIM(MID(C171, SEARCH(" - ", C171) + 3, 100)), "NO ENCONTRADO"))))</f>
        <v>MALDONADO ANGEL DAVID</v>
      </c>
      <c r="E171" s="13" t="str">
        <f t="array" ref="E171">IF(C171="","",IFERROR(INDEX(PRODUCTORES!$D:$D, MATCH(C171, PRODUCTORES!$F:$F, 0)), IFERROR(INDEX(PRODUCTORES!$D:$D, MATCH(IF(ISNUMBER(SEARCH(" - ", C171)), LEFT(C171, SEARCH(" - ", C171) - 1), C171), PRODUCTORES!$A:$A, 0)), "-")))</f>
        <v>Sí</v>
      </c>
      <c r="F171" s="14" t="s">
        <v>81</v>
      </c>
      <c r="G171" s="15">
        <v>2.0</v>
      </c>
      <c r="H171" s="16"/>
    </row>
    <row r="172" ht="15.75" customHeight="1">
      <c r="A172" s="8" t="str">
        <f t="shared" si="1"/>
        <v>ENT-0044</v>
      </c>
      <c r="B172" s="9">
        <v>46280.0</v>
      </c>
      <c r="C172" s="10" t="s">
        <v>906</v>
      </c>
      <c r="D172" s="12" t="str">
        <f t="array" ref="D172">IF(C172="","",IFERROR(INDEX(PRODUCTORES!$B:$B, MATCH(C172, PRODUCTORES!$F:$F, 0)) &amp; " " &amp; INDEX(PRODUCTORES!$C:$C, MATCH(C172, PRODUCTORES!$F:$F, 0)), IFERROR(INDEX(PRODUCTORES!$B:$B, MATCH(C172, PRODUCTORES!$A:$A, 0)) &amp; " " &amp; INDEX(PRODUCTORES!$C:$C, MATCH(C172, PRODUCTORES!$A:$A, 0)), IFERROR(TRIM(MID(C172, SEARCH(" - ", C172) + 3, 100)), "NO ENCONTRADO"))))</f>
        <v>MALDONADO ANGEL DAVID</v>
      </c>
      <c r="E172" s="13" t="str">
        <f t="array" ref="E172">IF(C172="","",IFERROR(INDEX(PRODUCTORES!$D:$D, MATCH(C172, PRODUCTORES!$F:$F, 0)), IFERROR(INDEX(PRODUCTORES!$D:$D, MATCH(IF(ISNUMBER(SEARCH(" - ", C172)), LEFT(C172, SEARCH(" - ", C172) - 1), C172), PRODUCTORES!$A:$A, 0)), "-")))</f>
        <v>Sí</v>
      </c>
      <c r="F172" s="14" t="s">
        <v>50</v>
      </c>
      <c r="G172" s="15">
        <v>1.0</v>
      </c>
      <c r="H172" s="16"/>
    </row>
    <row r="173" ht="15.75" customHeight="1">
      <c r="A173" s="8" t="str">
        <f t="shared" si="1"/>
        <v>ENT-0044</v>
      </c>
      <c r="B173" s="9">
        <v>46280.0</v>
      </c>
      <c r="C173" s="10" t="s">
        <v>906</v>
      </c>
      <c r="D173" s="12" t="str">
        <f t="array" ref="D173">IF(C173="","",IFERROR(INDEX(PRODUCTORES!$B:$B, MATCH(C173, PRODUCTORES!$F:$F, 0)) &amp; " " &amp; INDEX(PRODUCTORES!$C:$C, MATCH(C173, PRODUCTORES!$F:$F, 0)), IFERROR(INDEX(PRODUCTORES!$B:$B, MATCH(C173, PRODUCTORES!$A:$A, 0)) &amp; " " &amp; INDEX(PRODUCTORES!$C:$C, MATCH(C173, PRODUCTORES!$A:$A, 0)), IFERROR(TRIM(MID(C173, SEARCH(" - ", C173) + 3, 100)), "NO ENCONTRADO"))))</f>
        <v>MALDONADO ANGEL DAVID</v>
      </c>
      <c r="E173" s="13" t="str">
        <f t="array" ref="E173">IF(C173="","",IFERROR(INDEX(PRODUCTORES!$D:$D, MATCH(C173, PRODUCTORES!$F:$F, 0)), IFERROR(INDEX(PRODUCTORES!$D:$D, MATCH(IF(ISNUMBER(SEARCH(" - ", C173)), LEFT(C173, SEARCH(" - ", C173) - 1), C173), PRODUCTORES!$A:$A, 0)), "-")))</f>
        <v>Sí</v>
      </c>
      <c r="F173" s="14" t="s">
        <v>66</v>
      </c>
      <c r="G173" s="15">
        <v>2.0</v>
      </c>
      <c r="H173" s="16"/>
    </row>
    <row r="174" ht="15.75" customHeight="1">
      <c r="A174" s="8" t="str">
        <f t="shared" si="1"/>
        <v>ENT-0045</v>
      </c>
      <c r="B174" s="9">
        <v>46280.0</v>
      </c>
      <c r="C174" s="10" t="s">
        <v>977</v>
      </c>
      <c r="D174" s="12" t="str">
        <f t="array" ref="D174">IF(C174="","",IFERROR(INDEX(PRODUCTORES!$B:$B, MATCH(C174, PRODUCTORES!$F:$F, 0)) &amp; " " &amp; INDEX(PRODUCTORES!$C:$C, MATCH(C174, PRODUCTORES!$F:$F, 0)), IFERROR(INDEX(PRODUCTORES!$B:$B, MATCH(C174, PRODUCTORES!$A:$A, 0)) &amp; " " &amp; INDEX(PRODUCTORES!$C:$C, MATCH(C174, PRODUCTORES!$A:$A, 0)), IFERROR(TRIM(MID(C174, SEARCH(" - ", C174) + 3, 100)), "NO ENCONTRADO"))))</f>
        <v>MEDINA TERESA</v>
      </c>
      <c r="E174" s="13" t="str">
        <f t="array" ref="E174">IF(C174="","",IFERROR(INDEX(PRODUCTORES!$D:$D, MATCH(C174, PRODUCTORES!$F:$F, 0)), IFERROR(INDEX(PRODUCTORES!$D:$D, MATCH(IF(ISNUMBER(SEARCH(" - ", C174)), LEFT(C174, SEARCH(" - ", C174) - 1), C174), PRODUCTORES!$A:$A, 0)), "-")))</f>
        <v>Sí</v>
      </c>
      <c r="F174" s="14" t="s">
        <v>58</v>
      </c>
      <c r="G174" s="15">
        <v>4.0</v>
      </c>
      <c r="H174" s="16"/>
    </row>
    <row r="175" ht="15.75" customHeight="1">
      <c r="A175" s="8" t="str">
        <f t="shared" si="1"/>
        <v>ENT-0045</v>
      </c>
      <c r="B175" s="9">
        <v>46280.0</v>
      </c>
      <c r="C175" s="10" t="s">
        <v>977</v>
      </c>
      <c r="D175" s="12" t="str">
        <f t="array" ref="D175">IF(C175="","",IFERROR(INDEX(PRODUCTORES!$B:$B, MATCH(C175, PRODUCTORES!$F:$F, 0)) &amp; " " &amp; INDEX(PRODUCTORES!$C:$C, MATCH(C175, PRODUCTORES!$F:$F, 0)), IFERROR(INDEX(PRODUCTORES!$B:$B, MATCH(C175, PRODUCTORES!$A:$A, 0)) &amp; " " &amp; INDEX(PRODUCTORES!$C:$C, MATCH(C175, PRODUCTORES!$A:$A, 0)), IFERROR(TRIM(MID(C175, SEARCH(" - ", C175) + 3, 100)), "NO ENCONTRADO"))))</f>
        <v>MEDINA TERESA</v>
      </c>
      <c r="E175" s="13" t="str">
        <f t="array" ref="E175">IF(C175="","",IFERROR(INDEX(PRODUCTORES!$D:$D, MATCH(C175, PRODUCTORES!$F:$F, 0)), IFERROR(INDEX(PRODUCTORES!$D:$D, MATCH(IF(ISNUMBER(SEARCH(" - ", C175)), LEFT(C175, SEARCH(" - ", C175) - 1), C175), PRODUCTORES!$A:$A, 0)), "-")))</f>
        <v>Sí</v>
      </c>
      <c r="F175" s="14" t="s">
        <v>50</v>
      </c>
      <c r="G175" s="15">
        <v>1.0</v>
      </c>
      <c r="H175" s="16"/>
    </row>
    <row r="176" ht="15.75" customHeight="1">
      <c r="A176" s="8" t="str">
        <f t="shared" si="1"/>
        <v>ENT-0045</v>
      </c>
      <c r="B176" s="9">
        <v>46280.0</v>
      </c>
      <c r="C176" s="10" t="s">
        <v>977</v>
      </c>
      <c r="D176" s="12" t="str">
        <f t="array" ref="D176">IF(C176="","",IFERROR(INDEX(PRODUCTORES!$B:$B, MATCH(C176, PRODUCTORES!$F:$F, 0)) &amp; " " &amp; INDEX(PRODUCTORES!$C:$C, MATCH(C176, PRODUCTORES!$F:$F, 0)), IFERROR(INDEX(PRODUCTORES!$B:$B, MATCH(C176, PRODUCTORES!$A:$A, 0)) &amp; " " &amp; INDEX(PRODUCTORES!$C:$C, MATCH(C176, PRODUCTORES!$A:$A, 0)), IFERROR(TRIM(MID(C176, SEARCH(" - ", C176) + 3, 100)), "NO ENCONTRADO"))))</f>
        <v>MEDINA TERESA</v>
      </c>
      <c r="E176" s="13" t="str">
        <f t="array" ref="E176">IF(C176="","",IFERROR(INDEX(PRODUCTORES!$D:$D, MATCH(C176, PRODUCTORES!$F:$F, 0)), IFERROR(INDEX(PRODUCTORES!$D:$D, MATCH(IF(ISNUMBER(SEARCH(" - ", C176)), LEFT(C176, SEARCH(" - ", C176) - 1), C176), PRODUCTORES!$A:$A, 0)), "-")))</f>
        <v>Sí</v>
      </c>
      <c r="F176" s="14" t="s">
        <v>70</v>
      </c>
      <c r="G176" s="15">
        <v>1.0</v>
      </c>
      <c r="H176" s="16"/>
    </row>
    <row r="177" ht="15.75" customHeight="1">
      <c r="A177" s="8" t="str">
        <f t="shared" si="1"/>
        <v>ENT-0045</v>
      </c>
      <c r="B177" s="9">
        <v>46280.0</v>
      </c>
      <c r="C177" s="10" t="s">
        <v>977</v>
      </c>
      <c r="D177" s="12" t="str">
        <f t="array" ref="D177">IF(C177="","",IFERROR(INDEX(PRODUCTORES!$B:$B, MATCH(C177, PRODUCTORES!$F:$F, 0)) &amp; " " &amp; INDEX(PRODUCTORES!$C:$C, MATCH(C177, PRODUCTORES!$F:$F, 0)), IFERROR(INDEX(PRODUCTORES!$B:$B, MATCH(C177, PRODUCTORES!$A:$A, 0)) &amp; " " &amp; INDEX(PRODUCTORES!$C:$C, MATCH(C177, PRODUCTORES!$A:$A, 0)), IFERROR(TRIM(MID(C177, SEARCH(" - ", C177) + 3, 100)), "NO ENCONTRADO"))))</f>
        <v>MEDINA TERESA</v>
      </c>
      <c r="E177" s="13" t="str">
        <f t="array" ref="E177">IF(C177="","",IFERROR(INDEX(PRODUCTORES!$D:$D, MATCH(C177, PRODUCTORES!$F:$F, 0)), IFERROR(INDEX(PRODUCTORES!$D:$D, MATCH(IF(ISNUMBER(SEARCH(" - ", C177)), LEFT(C177, SEARCH(" - ", C177) - 1), C177), PRODUCTORES!$A:$A, 0)), "-")))</f>
        <v>Sí</v>
      </c>
      <c r="F177" s="14" t="s">
        <v>46</v>
      </c>
      <c r="G177" s="15">
        <v>2.0</v>
      </c>
      <c r="H177" s="16"/>
    </row>
    <row r="178" ht="15.75" customHeight="1">
      <c r="A178" s="8" t="str">
        <f t="shared" si="1"/>
        <v>ENT-0045</v>
      </c>
      <c r="B178" s="9">
        <v>46280.0</v>
      </c>
      <c r="C178" s="10" t="s">
        <v>977</v>
      </c>
      <c r="D178" s="12" t="str">
        <f t="array" ref="D178">IF(C178="","",IFERROR(INDEX(PRODUCTORES!$B:$B, MATCH(C178, PRODUCTORES!$F:$F, 0)) &amp; " " &amp; INDEX(PRODUCTORES!$C:$C, MATCH(C178, PRODUCTORES!$F:$F, 0)), IFERROR(INDEX(PRODUCTORES!$B:$B, MATCH(C178, PRODUCTORES!$A:$A, 0)) &amp; " " &amp; INDEX(PRODUCTORES!$C:$C, MATCH(C178, PRODUCTORES!$A:$A, 0)), IFERROR(TRIM(MID(C178, SEARCH(" - ", C178) + 3, 100)), "NO ENCONTRADO"))))</f>
        <v>MEDINA TERESA</v>
      </c>
      <c r="E178" s="13" t="str">
        <f t="array" ref="E178">IF(C178="","",IFERROR(INDEX(PRODUCTORES!$D:$D, MATCH(C178, PRODUCTORES!$F:$F, 0)), IFERROR(INDEX(PRODUCTORES!$D:$D, MATCH(IF(ISNUMBER(SEARCH(" - ", C178)), LEFT(C178, SEARCH(" - ", C178) - 1), C178), PRODUCTORES!$A:$A, 0)), "-")))</f>
        <v>Sí</v>
      </c>
      <c r="F178" s="14" t="s">
        <v>66</v>
      </c>
      <c r="G178" s="15">
        <v>2.0</v>
      </c>
      <c r="H178" s="16"/>
    </row>
    <row r="179" ht="15.75" customHeight="1">
      <c r="A179" s="8" t="str">
        <f t="shared" si="1"/>
        <v>ENT-0046</v>
      </c>
      <c r="B179" s="9">
        <v>46280.0</v>
      </c>
      <c r="C179" s="10" t="s">
        <v>1016</v>
      </c>
      <c r="D179" s="12" t="str">
        <f t="array" ref="D179">IF(C179="","",IFERROR(INDEX(PRODUCTORES!$B:$B, MATCH(C179, PRODUCTORES!$F:$F, 0)) &amp; " " &amp; INDEX(PRODUCTORES!$C:$C, MATCH(C179, PRODUCTORES!$F:$F, 0)), IFERROR(INDEX(PRODUCTORES!$B:$B, MATCH(C179, PRODUCTORES!$A:$A, 0)) &amp; " " &amp; INDEX(PRODUCTORES!$C:$C, MATCH(C179, PRODUCTORES!$A:$A, 0)), IFERROR(TRIM(MID(C179, SEARCH(" - ", C179) + 3, 100)), "NO ENCONTRADO"))))</f>
        <v>MOLINA CLAUDIO</v>
      </c>
      <c r="E179" s="13" t="str">
        <f t="array" ref="E179">IF(C179="","",IFERROR(INDEX(PRODUCTORES!$D:$D, MATCH(C179, PRODUCTORES!$F:$F, 0)), IFERROR(INDEX(PRODUCTORES!$D:$D, MATCH(IF(ISNUMBER(SEARCH(" - ", C179)), LEFT(C179, SEARCH(" - ", C179) - 1), C179), PRODUCTORES!$A:$A, 0)), "-")))</f>
        <v>Sí</v>
      </c>
      <c r="F179" s="14" t="s">
        <v>58</v>
      </c>
      <c r="G179" s="15">
        <v>11.0</v>
      </c>
      <c r="H179" s="16"/>
    </row>
    <row r="180" ht="15.75" customHeight="1">
      <c r="A180" s="8" t="str">
        <f t="shared" si="1"/>
        <v>ENT-0047</v>
      </c>
      <c r="B180" s="9">
        <v>46280.0</v>
      </c>
      <c r="C180" s="10" t="s">
        <v>1057</v>
      </c>
      <c r="D180" s="12" t="str">
        <f t="array" ref="D180">IF(C180="","",IFERROR(INDEX(PRODUCTORES!$B:$B, MATCH(C180, PRODUCTORES!$F:$F, 0)) &amp; " " &amp; INDEX(PRODUCTORES!$C:$C, MATCH(C180, PRODUCTORES!$F:$F, 0)), IFERROR(INDEX(PRODUCTORES!$B:$B, MATCH(C180, PRODUCTORES!$A:$A, 0)) &amp; " " &amp; INDEX(PRODUCTORES!$C:$C, MATCH(C180, PRODUCTORES!$A:$A, 0)), IFERROR(TRIM(MID(C180, SEARCH(" - ", C180) + 3, 100)), "NO ENCONTRADO"))))</f>
        <v>MORTE ALICIA MONICA</v>
      </c>
      <c r="E180" s="13" t="str">
        <f t="array" ref="E180">IF(C180="","",IFERROR(INDEX(PRODUCTORES!$D:$D, MATCH(C180, PRODUCTORES!$F:$F, 0)), IFERROR(INDEX(PRODUCTORES!$D:$D, MATCH(IF(ISNUMBER(SEARCH(" - ", C180)), LEFT(C180, SEARCH(" - ", C180) - 1), C180), PRODUCTORES!$A:$A, 0)), "-")))</f>
        <v>Sí</v>
      </c>
      <c r="F180" s="14" t="s">
        <v>58</v>
      </c>
      <c r="G180" s="15">
        <v>4.0</v>
      </c>
      <c r="H180" s="16"/>
    </row>
    <row r="181" ht="15.75" customHeight="1">
      <c r="A181" s="8" t="str">
        <f t="shared" si="1"/>
        <v>ENT-0047</v>
      </c>
      <c r="B181" s="9">
        <v>46280.0</v>
      </c>
      <c r="C181" s="10" t="s">
        <v>1057</v>
      </c>
      <c r="D181" s="12" t="str">
        <f t="array" ref="D181">IF(C181="","",IFERROR(INDEX(PRODUCTORES!$B:$B, MATCH(C181, PRODUCTORES!$F:$F, 0)) &amp; " " &amp; INDEX(PRODUCTORES!$C:$C, MATCH(C181, PRODUCTORES!$F:$F, 0)), IFERROR(INDEX(PRODUCTORES!$B:$B, MATCH(C181, PRODUCTORES!$A:$A, 0)) &amp; " " &amp; INDEX(PRODUCTORES!$C:$C, MATCH(C181, PRODUCTORES!$A:$A, 0)), IFERROR(TRIM(MID(C181, SEARCH(" - ", C181) + 3, 100)), "NO ENCONTRADO"))))</f>
        <v>MORTE ALICIA MONICA</v>
      </c>
      <c r="E181" s="13" t="str">
        <f t="array" ref="E181">IF(C181="","",IFERROR(INDEX(PRODUCTORES!$D:$D, MATCH(C181, PRODUCTORES!$F:$F, 0)), IFERROR(INDEX(PRODUCTORES!$D:$D, MATCH(IF(ISNUMBER(SEARCH(" - ", C181)), LEFT(C181, SEARCH(" - ", C181) - 1), C181), PRODUCTORES!$A:$A, 0)), "-")))</f>
        <v>Sí</v>
      </c>
      <c r="F181" s="14" t="s">
        <v>50</v>
      </c>
      <c r="G181" s="15">
        <v>2.0</v>
      </c>
      <c r="H181" s="16"/>
    </row>
    <row r="182" ht="15.75" customHeight="1">
      <c r="A182" s="8" t="str">
        <f t="shared" si="1"/>
        <v>ENT-0047</v>
      </c>
      <c r="B182" s="9">
        <v>46280.0</v>
      </c>
      <c r="C182" s="10" t="s">
        <v>1057</v>
      </c>
      <c r="D182" s="12" t="str">
        <f t="array" ref="D182">IF(C182="","",IFERROR(INDEX(PRODUCTORES!$B:$B, MATCH(C182, PRODUCTORES!$F:$F, 0)) &amp; " " &amp; INDEX(PRODUCTORES!$C:$C, MATCH(C182, PRODUCTORES!$F:$F, 0)), IFERROR(INDEX(PRODUCTORES!$B:$B, MATCH(C182, PRODUCTORES!$A:$A, 0)) &amp; " " &amp; INDEX(PRODUCTORES!$C:$C, MATCH(C182, PRODUCTORES!$A:$A, 0)), IFERROR(TRIM(MID(C182, SEARCH(" - ", C182) + 3, 100)), "NO ENCONTRADO"))))</f>
        <v>MORTE ALICIA MONICA</v>
      </c>
      <c r="E182" s="13" t="str">
        <f t="array" ref="E182">IF(C182="","",IFERROR(INDEX(PRODUCTORES!$D:$D, MATCH(C182, PRODUCTORES!$F:$F, 0)), IFERROR(INDEX(PRODUCTORES!$D:$D, MATCH(IF(ISNUMBER(SEARCH(" - ", C182)), LEFT(C182, SEARCH(" - ", C182) - 1), C182), PRODUCTORES!$A:$A, 0)), "-")))</f>
        <v>Sí</v>
      </c>
      <c r="F182" s="14" t="s">
        <v>70</v>
      </c>
      <c r="G182" s="15">
        <v>2.0</v>
      </c>
      <c r="H182" s="16"/>
    </row>
    <row r="183" ht="15.75" customHeight="1">
      <c r="A183" s="8" t="str">
        <f t="shared" si="1"/>
        <v>ENT-0047</v>
      </c>
      <c r="B183" s="9">
        <v>46280.0</v>
      </c>
      <c r="C183" s="10" t="s">
        <v>1057</v>
      </c>
      <c r="D183" s="12" t="str">
        <f t="array" ref="D183">IF(C183="","",IFERROR(INDEX(PRODUCTORES!$B:$B, MATCH(C183, PRODUCTORES!$F:$F, 0)) &amp; " " &amp; INDEX(PRODUCTORES!$C:$C, MATCH(C183, PRODUCTORES!$F:$F, 0)), IFERROR(INDEX(PRODUCTORES!$B:$B, MATCH(C183, PRODUCTORES!$A:$A, 0)) &amp; " " &amp; INDEX(PRODUCTORES!$C:$C, MATCH(C183, PRODUCTORES!$A:$A, 0)), IFERROR(TRIM(MID(C183, SEARCH(" - ", C183) + 3, 100)), "NO ENCONTRADO"))))</f>
        <v>MORTE ALICIA MONICA</v>
      </c>
      <c r="E183" s="13" t="str">
        <f t="array" ref="E183">IF(C183="","",IFERROR(INDEX(PRODUCTORES!$D:$D, MATCH(C183, PRODUCTORES!$F:$F, 0)), IFERROR(INDEX(PRODUCTORES!$D:$D, MATCH(IF(ISNUMBER(SEARCH(" - ", C183)), LEFT(C183, SEARCH(" - ", C183) - 1), C183), PRODUCTORES!$A:$A, 0)), "-")))</f>
        <v>Sí</v>
      </c>
      <c r="F183" s="14" t="s">
        <v>81</v>
      </c>
      <c r="G183" s="15">
        <v>1.0</v>
      </c>
      <c r="H183" s="16"/>
    </row>
    <row r="184" ht="15.75" customHeight="1">
      <c r="A184" s="8" t="str">
        <f t="shared" si="1"/>
        <v>ENT-0048</v>
      </c>
      <c r="B184" s="9">
        <v>46280.0</v>
      </c>
      <c r="C184" s="10" t="s">
        <v>1101</v>
      </c>
      <c r="D184" s="12" t="str">
        <f t="array" ref="D184">IF(C184="","",IFERROR(INDEX(PRODUCTORES!$B:$B, MATCH(C184, PRODUCTORES!$F:$F, 0)) &amp; " " &amp; INDEX(PRODUCTORES!$C:$C, MATCH(C184, PRODUCTORES!$F:$F, 0)), IFERROR(INDEX(PRODUCTORES!$B:$B, MATCH(C184, PRODUCTORES!$A:$A, 0)) &amp; " " &amp; INDEX(PRODUCTORES!$C:$C, MATCH(C184, PRODUCTORES!$A:$A, 0)), IFERROR(TRIM(MID(C184, SEARCH(" - ", C184) + 3, 100)), "NO ENCONTRADO"))))</f>
        <v>ÑANCUL ÑANCUL PATRICIA ALEJANDRA</v>
      </c>
      <c r="E184" s="13" t="str">
        <f t="array" ref="E184">IF(C184="","",IFERROR(INDEX(PRODUCTORES!$D:$D, MATCH(C184, PRODUCTORES!$F:$F, 0)), IFERROR(INDEX(PRODUCTORES!$D:$D, MATCH(IF(ISNUMBER(SEARCH(" - ", C184)), LEFT(C184, SEARCH(" - ", C184) - 1), C184), PRODUCTORES!$A:$A, 0)), "-")))</f>
        <v>Sí</v>
      </c>
      <c r="F184" s="14" t="s">
        <v>58</v>
      </c>
      <c r="G184" s="15">
        <v>6.0</v>
      </c>
      <c r="H184" s="16"/>
    </row>
    <row r="185" ht="15.75" customHeight="1">
      <c r="A185" s="8" t="str">
        <f t="shared" si="1"/>
        <v>ENT-0048</v>
      </c>
      <c r="B185" s="9">
        <v>46280.0</v>
      </c>
      <c r="C185" s="10" t="s">
        <v>1101</v>
      </c>
      <c r="D185" s="12" t="str">
        <f t="array" ref="D185">IF(C185="","",IFERROR(INDEX(PRODUCTORES!$B:$B, MATCH(C185, PRODUCTORES!$F:$F, 0)) &amp; " " &amp; INDEX(PRODUCTORES!$C:$C, MATCH(C185, PRODUCTORES!$F:$F, 0)), IFERROR(INDEX(PRODUCTORES!$B:$B, MATCH(C185, PRODUCTORES!$A:$A, 0)) &amp; " " &amp; INDEX(PRODUCTORES!$C:$C, MATCH(C185, PRODUCTORES!$A:$A, 0)), IFERROR(TRIM(MID(C185, SEARCH(" - ", C185) + 3, 100)), "NO ENCONTRADO"))))</f>
        <v>ÑANCUL ÑANCUL PATRICIA ALEJANDRA</v>
      </c>
      <c r="E185" s="13" t="str">
        <f t="array" ref="E185">IF(C185="","",IFERROR(INDEX(PRODUCTORES!$D:$D, MATCH(C185, PRODUCTORES!$F:$F, 0)), IFERROR(INDEX(PRODUCTORES!$D:$D, MATCH(IF(ISNUMBER(SEARCH(" - ", C185)), LEFT(C185, SEARCH(" - ", C185) - 1), C185), PRODUCTORES!$A:$A, 0)), "-")))</f>
        <v>Sí</v>
      </c>
      <c r="F185" s="14" t="s">
        <v>50</v>
      </c>
      <c r="G185" s="15">
        <v>1.0</v>
      </c>
      <c r="H185" s="16"/>
    </row>
    <row r="186" ht="15.75" customHeight="1">
      <c r="A186" s="8" t="str">
        <f t="shared" si="1"/>
        <v>ENT-0048</v>
      </c>
      <c r="B186" s="9">
        <v>46280.0</v>
      </c>
      <c r="C186" s="10" t="s">
        <v>1101</v>
      </c>
      <c r="D186" s="12" t="str">
        <f t="array" ref="D186">IF(C186="","",IFERROR(INDEX(PRODUCTORES!$B:$B, MATCH(C186, PRODUCTORES!$F:$F, 0)) &amp; " " &amp; INDEX(PRODUCTORES!$C:$C, MATCH(C186, PRODUCTORES!$F:$F, 0)), IFERROR(INDEX(PRODUCTORES!$B:$B, MATCH(C186, PRODUCTORES!$A:$A, 0)) &amp; " " &amp; INDEX(PRODUCTORES!$C:$C, MATCH(C186, PRODUCTORES!$A:$A, 0)), IFERROR(TRIM(MID(C186, SEARCH(" - ", C186) + 3, 100)), "NO ENCONTRADO"))))</f>
        <v>ÑANCUL ÑANCUL PATRICIA ALEJANDRA</v>
      </c>
      <c r="E186" s="13" t="str">
        <f t="array" ref="E186">IF(C186="","",IFERROR(INDEX(PRODUCTORES!$D:$D, MATCH(C186, PRODUCTORES!$F:$F, 0)), IFERROR(INDEX(PRODUCTORES!$D:$D, MATCH(IF(ISNUMBER(SEARCH(" - ", C186)), LEFT(C186, SEARCH(" - ", C186) - 1), C186), PRODUCTORES!$A:$A, 0)), "-")))</f>
        <v>Sí</v>
      </c>
      <c r="F186" s="14" t="s">
        <v>70</v>
      </c>
      <c r="G186" s="15">
        <v>1.0</v>
      </c>
      <c r="H186" s="16"/>
    </row>
    <row r="187" ht="15.75" customHeight="1">
      <c r="A187" s="8" t="str">
        <f t="shared" si="1"/>
        <v>ENT-0048</v>
      </c>
      <c r="B187" s="9">
        <v>46280.0</v>
      </c>
      <c r="C187" s="10" t="s">
        <v>1101</v>
      </c>
      <c r="D187" s="12" t="str">
        <f t="array" ref="D187">IF(C187="","",IFERROR(INDEX(PRODUCTORES!$B:$B, MATCH(C187, PRODUCTORES!$F:$F, 0)) &amp; " " &amp; INDEX(PRODUCTORES!$C:$C, MATCH(C187, PRODUCTORES!$F:$F, 0)), IFERROR(INDEX(PRODUCTORES!$B:$B, MATCH(C187, PRODUCTORES!$A:$A, 0)) &amp; " " &amp; INDEX(PRODUCTORES!$C:$C, MATCH(C187, PRODUCTORES!$A:$A, 0)), IFERROR(TRIM(MID(C187, SEARCH(" - ", C187) + 3, 100)), "NO ENCONTRADO"))))</f>
        <v>ÑANCUL ÑANCUL PATRICIA ALEJANDRA</v>
      </c>
      <c r="E187" s="13" t="str">
        <f t="array" ref="E187">IF(C187="","",IFERROR(INDEX(PRODUCTORES!$D:$D, MATCH(C187, PRODUCTORES!$F:$F, 0)), IFERROR(INDEX(PRODUCTORES!$D:$D, MATCH(IF(ISNUMBER(SEARCH(" - ", C187)), LEFT(C187, SEARCH(" - ", C187) - 1), C187), PRODUCTORES!$A:$A, 0)), "-")))</f>
        <v>Sí</v>
      </c>
      <c r="F187" s="14" t="s">
        <v>46</v>
      </c>
      <c r="G187" s="15">
        <v>1.0</v>
      </c>
      <c r="H187" s="16"/>
    </row>
    <row r="188" ht="15.75" customHeight="1">
      <c r="A188" s="8" t="str">
        <f t="shared" si="1"/>
        <v>ENT-0049</v>
      </c>
      <c r="B188" s="9">
        <v>46280.0</v>
      </c>
      <c r="C188" s="10" t="s">
        <v>195</v>
      </c>
      <c r="D188" s="12" t="str">
        <f t="array" ref="D188">IF(C188="","",IFERROR(INDEX(PRODUCTORES!$B:$B, MATCH(C188, PRODUCTORES!$F:$F, 0)) &amp; " " &amp; INDEX(PRODUCTORES!$C:$C, MATCH(C188, PRODUCTORES!$F:$F, 0)), IFERROR(INDEX(PRODUCTORES!$B:$B, MATCH(C188, PRODUCTORES!$A:$A, 0)) &amp; " " &amp; INDEX(PRODUCTORES!$C:$C, MATCH(C188, PRODUCTORES!$A:$A, 0)), IFERROR(TRIM(MID(C188, SEARCH(" - ", C188) + 3, 100)), "NO ENCONTRADO"))))</f>
        <v>OJEDA ANA MARIA</v>
      </c>
      <c r="E188" s="13" t="str">
        <f t="array" ref="E188">IF(C188="","",IFERROR(INDEX(PRODUCTORES!$D:$D, MATCH(C188, PRODUCTORES!$F:$F, 0)), IFERROR(INDEX(PRODUCTORES!$D:$D, MATCH(IF(ISNUMBER(SEARCH(" - ", C188)), LEFT(C188, SEARCH(" - ", C188) - 1), C188), PRODUCTORES!$A:$A, 0)), "-")))</f>
        <v>Sí</v>
      </c>
      <c r="F188" s="14" t="s">
        <v>58</v>
      </c>
      <c r="G188" s="15">
        <v>4.0</v>
      </c>
      <c r="H188" s="16"/>
    </row>
    <row r="189" ht="15.75" customHeight="1">
      <c r="A189" s="8" t="str">
        <f t="shared" si="1"/>
        <v>ENT-0049</v>
      </c>
      <c r="B189" s="9">
        <v>46280.0</v>
      </c>
      <c r="C189" s="10" t="s">
        <v>195</v>
      </c>
      <c r="D189" s="12" t="str">
        <f t="array" ref="D189">IF(C189="","",IFERROR(INDEX(PRODUCTORES!$B:$B, MATCH(C189, PRODUCTORES!$F:$F, 0)) &amp; " " &amp; INDEX(PRODUCTORES!$C:$C, MATCH(C189, PRODUCTORES!$F:$F, 0)), IFERROR(INDEX(PRODUCTORES!$B:$B, MATCH(C189, PRODUCTORES!$A:$A, 0)) &amp; " " &amp; INDEX(PRODUCTORES!$C:$C, MATCH(C189, PRODUCTORES!$A:$A, 0)), IFERROR(TRIM(MID(C189, SEARCH(" - ", C189) + 3, 100)), "NO ENCONTRADO"))))</f>
        <v>OJEDA ANA MARIA</v>
      </c>
      <c r="E189" s="13" t="str">
        <f t="array" ref="E189">IF(C189="","",IFERROR(INDEX(PRODUCTORES!$D:$D, MATCH(C189, PRODUCTORES!$F:$F, 0)), IFERROR(INDEX(PRODUCTORES!$D:$D, MATCH(IF(ISNUMBER(SEARCH(" - ", C189)), LEFT(C189, SEARCH(" - ", C189) - 1), C189), PRODUCTORES!$A:$A, 0)), "-")))</f>
        <v>Sí</v>
      </c>
      <c r="F189" s="14" t="s">
        <v>70</v>
      </c>
      <c r="G189" s="15">
        <v>1.0</v>
      </c>
      <c r="H189" s="16"/>
    </row>
    <row r="190" ht="15.75" customHeight="1">
      <c r="A190" s="8" t="str">
        <f t="shared" si="1"/>
        <v>ENT-0049</v>
      </c>
      <c r="B190" s="9">
        <v>46280.0</v>
      </c>
      <c r="C190" s="10" t="s">
        <v>195</v>
      </c>
      <c r="D190" s="12" t="str">
        <f t="array" ref="D190">IF(C190="","",IFERROR(INDEX(PRODUCTORES!$B:$B, MATCH(C190, PRODUCTORES!$F:$F, 0)) &amp; " " &amp; INDEX(PRODUCTORES!$C:$C, MATCH(C190, PRODUCTORES!$F:$F, 0)), IFERROR(INDEX(PRODUCTORES!$B:$B, MATCH(C190, PRODUCTORES!$A:$A, 0)) &amp; " " &amp; INDEX(PRODUCTORES!$C:$C, MATCH(C190, PRODUCTORES!$A:$A, 0)), IFERROR(TRIM(MID(C190, SEARCH(" - ", C190) + 3, 100)), "NO ENCONTRADO"))))</f>
        <v>OJEDA ANA MARIA</v>
      </c>
      <c r="E190" s="13" t="str">
        <f t="array" ref="E190">IF(C190="","",IFERROR(INDEX(PRODUCTORES!$D:$D, MATCH(C190, PRODUCTORES!$F:$F, 0)), IFERROR(INDEX(PRODUCTORES!$D:$D, MATCH(IF(ISNUMBER(SEARCH(" - ", C190)), LEFT(C190, SEARCH(" - ", C190) - 1), C190), PRODUCTORES!$A:$A, 0)), "-")))</f>
        <v>Sí</v>
      </c>
      <c r="F190" s="14" t="s">
        <v>50</v>
      </c>
      <c r="G190" s="15">
        <v>1.0</v>
      </c>
      <c r="H190" s="16"/>
    </row>
    <row r="191" ht="15.75" customHeight="1">
      <c r="A191" s="8" t="str">
        <f t="shared" si="1"/>
        <v>ENT-0050</v>
      </c>
      <c r="B191" s="9">
        <v>46280.0</v>
      </c>
      <c r="C191" s="10" t="s">
        <v>1237</v>
      </c>
      <c r="D191" s="12" t="str">
        <f t="array" ref="D191">IF(C191="","",IFERROR(INDEX(PRODUCTORES!$B:$B, MATCH(C191, PRODUCTORES!$F:$F, 0)) &amp; " " &amp; INDEX(PRODUCTORES!$C:$C, MATCH(C191, PRODUCTORES!$F:$F, 0)), IFERROR(INDEX(PRODUCTORES!$B:$B, MATCH(C191, PRODUCTORES!$A:$A, 0)) &amp; " " &amp; INDEX(PRODUCTORES!$C:$C, MATCH(C191, PRODUCTORES!$A:$A, 0)), IFERROR(TRIM(MID(C191, SEARCH(" - ", C191) + 3, 100)), "NO ENCONTRADO"))))</f>
        <v>RIVADERO XAVIER ALEJANDRO</v>
      </c>
      <c r="E191" s="13" t="str">
        <f t="array" ref="E191">IF(C191="","",IFERROR(INDEX(PRODUCTORES!$D:$D, MATCH(C191, PRODUCTORES!$F:$F, 0)), IFERROR(INDEX(PRODUCTORES!$D:$D, MATCH(IF(ISNUMBER(SEARCH(" - ", C191)), LEFT(C191, SEARCH(" - ", C191) - 1), C191), PRODUCTORES!$A:$A, 0)), "-")))</f>
        <v>Sí</v>
      </c>
      <c r="F191" s="14" t="s">
        <v>58</v>
      </c>
      <c r="G191" s="15">
        <v>39.0</v>
      </c>
      <c r="H191" s="16"/>
    </row>
    <row r="192" ht="15.75" customHeight="1">
      <c r="A192" s="8" t="str">
        <f t="shared" si="1"/>
        <v>ENT-0051</v>
      </c>
      <c r="B192" s="9">
        <v>46280.0</v>
      </c>
      <c r="C192" s="10" t="s">
        <v>1244</v>
      </c>
      <c r="D192" s="12" t="str">
        <f t="array" ref="D192">IF(C192="","",IFERROR(INDEX(PRODUCTORES!$B:$B, MATCH(C192, PRODUCTORES!$F:$F, 0)) &amp; " " &amp; INDEX(PRODUCTORES!$C:$C, MATCH(C192, PRODUCTORES!$F:$F, 0)), IFERROR(INDEX(PRODUCTORES!$B:$B, MATCH(C192, PRODUCTORES!$A:$A, 0)) &amp; " " &amp; INDEX(PRODUCTORES!$C:$C, MATCH(C192, PRODUCTORES!$A:$A, 0)), IFERROR(TRIM(MID(C192, SEARCH(" - ", C192) + 3, 100)), "NO ENCONTRADO"))))</f>
        <v>RODRIGUEZ ALICIA JOANA</v>
      </c>
      <c r="E192" s="13" t="str">
        <f t="array" ref="E192">IF(C192="","",IFERROR(INDEX(PRODUCTORES!$D:$D, MATCH(C192, PRODUCTORES!$F:$F, 0)), IFERROR(INDEX(PRODUCTORES!$D:$D, MATCH(IF(ISNUMBER(SEARCH(" - ", C192)), LEFT(C192, SEARCH(" - ", C192) - 1), C192), PRODUCTORES!$A:$A, 0)), "-")))</f>
        <v>Sí</v>
      </c>
      <c r="F192" s="14" t="s">
        <v>58</v>
      </c>
      <c r="G192" s="15">
        <v>2.0</v>
      </c>
      <c r="H192" s="16"/>
    </row>
    <row r="193" ht="15.75" customHeight="1">
      <c r="A193" s="8" t="str">
        <f t="shared" si="1"/>
        <v>ENT-0051</v>
      </c>
      <c r="B193" s="9">
        <v>46280.0</v>
      </c>
      <c r="C193" s="10" t="s">
        <v>1244</v>
      </c>
      <c r="D193" s="12" t="str">
        <f t="array" ref="D193">IF(C193="","",IFERROR(INDEX(PRODUCTORES!$B:$B, MATCH(C193, PRODUCTORES!$F:$F, 0)) &amp; " " &amp; INDEX(PRODUCTORES!$C:$C, MATCH(C193, PRODUCTORES!$F:$F, 0)), IFERROR(INDEX(PRODUCTORES!$B:$B, MATCH(C193, PRODUCTORES!$A:$A, 0)) &amp; " " &amp; INDEX(PRODUCTORES!$C:$C, MATCH(C193, PRODUCTORES!$A:$A, 0)), IFERROR(TRIM(MID(C193, SEARCH(" - ", C193) + 3, 100)), "NO ENCONTRADO"))))</f>
        <v>RODRIGUEZ ALICIA JOANA</v>
      </c>
      <c r="E193" s="13" t="str">
        <f t="array" ref="E193">IF(C193="","",IFERROR(INDEX(PRODUCTORES!$D:$D, MATCH(C193, PRODUCTORES!$F:$F, 0)), IFERROR(INDEX(PRODUCTORES!$D:$D, MATCH(IF(ISNUMBER(SEARCH(" - ", C193)), LEFT(C193, SEARCH(" - ", C193) - 1), C193), PRODUCTORES!$A:$A, 0)), "-")))</f>
        <v>Sí</v>
      </c>
      <c r="F193" s="14" t="s">
        <v>81</v>
      </c>
      <c r="G193" s="15">
        <v>2.0</v>
      </c>
      <c r="H193" s="16"/>
    </row>
    <row r="194" ht="15.75" customHeight="1">
      <c r="A194" s="8" t="str">
        <f t="shared" si="1"/>
        <v>ENT-0051</v>
      </c>
      <c r="B194" s="9">
        <v>46280.0</v>
      </c>
      <c r="C194" s="10" t="s">
        <v>1244</v>
      </c>
      <c r="D194" s="12" t="str">
        <f t="array" ref="D194">IF(C194="","",IFERROR(INDEX(PRODUCTORES!$B:$B, MATCH(C194, PRODUCTORES!$F:$F, 0)) &amp; " " &amp; INDEX(PRODUCTORES!$C:$C, MATCH(C194, PRODUCTORES!$F:$F, 0)), IFERROR(INDEX(PRODUCTORES!$B:$B, MATCH(C194, PRODUCTORES!$A:$A, 0)) &amp; " " &amp; INDEX(PRODUCTORES!$C:$C, MATCH(C194, PRODUCTORES!$A:$A, 0)), IFERROR(TRIM(MID(C194, SEARCH(" - ", C194) + 3, 100)), "NO ENCONTRADO"))))</f>
        <v>RODRIGUEZ ALICIA JOANA</v>
      </c>
      <c r="E194" s="13" t="str">
        <f t="array" ref="E194">IF(C194="","",IFERROR(INDEX(PRODUCTORES!$D:$D, MATCH(C194, PRODUCTORES!$F:$F, 0)), IFERROR(INDEX(PRODUCTORES!$D:$D, MATCH(IF(ISNUMBER(SEARCH(" - ", C194)), LEFT(C194, SEARCH(" - ", C194) - 1), C194), PRODUCTORES!$A:$A, 0)), "-")))</f>
        <v>Sí</v>
      </c>
      <c r="F194" s="14" t="s">
        <v>50</v>
      </c>
      <c r="G194" s="15">
        <v>2.0</v>
      </c>
      <c r="H194" s="16"/>
    </row>
    <row r="195" ht="15.75" customHeight="1">
      <c r="A195" s="8" t="str">
        <f t="shared" si="1"/>
        <v>ENT-0051</v>
      </c>
      <c r="B195" s="9">
        <v>46280.0</v>
      </c>
      <c r="C195" s="10" t="s">
        <v>1244</v>
      </c>
      <c r="D195" s="12" t="str">
        <f t="array" ref="D195">IF(C195="","",IFERROR(INDEX(PRODUCTORES!$B:$B, MATCH(C195, PRODUCTORES!$F:$F, 0)) &amp; " " &amp; INDEX(PRODUCTORES!$C:$C, MATCH(C195, PRODUCTORES!$F:$F, 0)), IFERROR(INDEX(PRODUCTORES!$B:$B, MATCH(C195, PRODUCTORES!$A:$A, 0)) &amp; " " &amp; INDEX(PRODUCTORES!$C:$C, MATCH(C195, PRODUCTORES!$A:$A, 0)), IFERROR(TRIM(MID(C195, SEARCH(" - ", C195) + 3, 100)), "NO ENCONTRADO"))))</f>
        <v>RODRIGUEZ ALICIA JOANA</v>
      </c>
      <c r="E195" s="13" t="str">
        <f t="array" ref="E195">IF(C195="","",IFERROR(INDEX(PRODUCTORES!$D:$D, MATCH(C195, PRODUCTORES!$F:$F, 0)), IFERROR(INDEX(PRODUCTORES!$D:$D, MATCH(IF(ISNUMBER(SEARCH(" - ", C195)), LEFT(C195, SEARCH(" - ", C195) - 1), C195), PRODUCTORES!$A:$A, 0)), "-")))</f>
        <v>Sí</v>
      </c>
      <c r="F195" s="14" t="s">
        <v>70</v>
      </c>
      <c r="G195" s="15">
        <v>3.0</v>
      </c>
      <c r="H195" s="16"/>
    </row>
    <row r="196" ht="15.75" customHeight="1">
      <c r="A196" s="8" t="str">
        <f t="shared" si="1"/>
        <v>ENT-0051</v>
      </c>
      <c r="B196" s="9">
        <v>46280.0</v>
      </c>
      <c r="C196" s="10" t="s">
        <v>1244</v>
      </c>
      <c r="D196" s="12" t="str">
        <f t="array" ref="D196">IF(C196="","",IFERROR(INDEX(PRODUCTORES!$B:$B, MATCH(C196, PRODUCTORES!$F:$F, 0)) &amp; " " &amp; INDEX(PRODUCTORES!$C:$C, MATCH(C196, PRODUCTORES!$F:$F, 0)), IFERROR(INDEX(PRODUCTORES!$B:$B, MATCH(C196, PRODUCTORES!$A:$A, 0)) &amp; " " &amp; INDEX(PRODUCTORES!$C:$C, MATCH(C196, PRODUCTORES!$A:$A, 0)), IFERROR(TRIM(MID(C196, SEARCH(" - ", C196) + 3, 100)), "NO ENCONTRADO"))))</f>
        <v>RODRIGUEZ ALICIA JOANA</v>
      </c>
      <c r="E196" s="13" t="str">
        <f t="array" ref="E196">IF(C196="","",IFERROR(INDEX(PRODUCTORES!$D:$D, MATCH(C196, PRODUCTORES!$F:$F, 0)), IFERROR(INDEX(PRODUCTORES!$D:$D, MATCH(IF(ISNUMBER(SEARCH(" - ", C196)), LEFT(C196, SEARCH(" - ", C196) - 1), C196), PRODUCTORES!$A:$A, 0)), "-")))</f>
        <v>Sí</v>
      </c>
      <c r="F196" s="14" t="s">
        <v>78</v>
      </c>
      <c r="G196" s="15">
        <v>1.0</v>
      </c>
      <c r="H196" s="16"/>
    </row>
    <row r="197" ht="15.75" customHeight="1">
      <c r="A197" s="8" t="str">
        <f t="shared" si="1"/>
        <v>ENT-0052</v>
      </c>
      <c r="B197" s="9">
        <v>46280.0</v>
      </c>
      <c r="C197" s="10" t="s">
        <v>939</v>
      </c>
      <c r="D197" s="12" t="str">
        <f t="array" ref="D197">IF(C197="","",IFERROR(INDEX(PRODUCTORES!$B:$B, MATCH(C197, PRODUCTORES!$F:$F, 0)) &amp; " " &amp; INDEX(PRODUCTORES!$C:$C, MATCH(C197, PRODUCTORES!$F:$F, 0)), IFERROR(INDEX(PRODUCTORES!$B:$B, MATCH(C197, PRODUCTORES!$A:$A, 0)) &amp; " " &amp; INDEX(PRODUCTORES!$C:$C, MATCH(C197, PRODUCTORES!$A:$A, 0)), IFERROR(TRIM(MID(C197, SEARCH(" - ", C197) + 3, 100)), "NO ENCONTRADO"))))</f>
        <v>SANTILLAN MARGARITA BEATRIZ</v>
      </c>
      <c r="E197" s="13" t="str">
        <f t="array" ref="E197">IF(C197="","",IFERROR(INDEX(PRODUCTORES!$D:$D, MATCH(C197, PRODUCTORES!$F:$F, 0)), IFERROR(INDEX(PRODUCTORES!$D:$D, MATCH(IF(ISNUMBER(SEARCH(" - ", C197)), LEFT(C197, SEARCH(" - ", C197) - 1), C197), PRODUCTORES!$A:$A, 0)), "-")))</f>
        <v>Sí</v>
      </c>
      <c r="F197" s="14" t="s">
        <v>58</v>
      </c>
      <c r="G197" s="15">
        <v>2.0</v>
      </c>
      <c r="H197" s="16"/>
    </row>
    <row r="198" ht="15.75" customHeight="1">
      <c r="A198" s="8" t="str">
        <f t="shared" si="1"/>
        <v>ENT-0052</v>
      </c>
      <c r="B198" s="9">
        <v>46280.0</v>
      </c>
      <c r="C198" s="10" t="s">
        <v>939</v>
      </c>
      <c r="D198" s="12" t="str">
        <f t="array" ref="D198">IF(C198="","",IFERROR(INDEX(PRODUCTORES!$B:$B, MATCH(C198, PRODUCTORES!$F:$F, 0)) &amp; " " &amp; INDEX(PRODUCTORES!$C:$C, MATCH(C198, PRODUCTORES!$F:$F, 0)), IFERROR(INDEX(PRODUCTORES!$B:$B, MATCH(C198, PRODUCTORES!$A:$A, 0)) &amp; " " &amp; INDEX(PRODUCTORES!$C:$C, MATCH(C198, PRODUCTORES!$A:$A, 0)), IFERROR(TRIM(MID(C198, SEARCH(" - ", C198) + 3, 100)), "NO ENCONTRADO"))))</f>
        <v>SANTILLAN MARGARITA BEATRIZ</v>
      </c>
      <c r="E198" s="13" t="str">
        <f t="array" ref="E198">IF(C198="","",IFERROR(INDEX(PRODUCTORES!$D:$D, MATCH(C198, PRODUCTORES!$F:$F, 0)), IFERROR(INDEX(PRODUCTORES!$D:$D, MATCH(IF(ISNUMBER(SEARCH(" - ", C198)), LEFT(C198, SEARCH(" - ", C198) - 1), C198), PRODUCTORES!$A:$A, 0)), "-")))</f>
        <v>Sí</v>
      </c>
      <c r="F198" s="14" t="s">
        <v>46</v>
      </c>
      <c r="G198" s="15">
        <v>2.0</v>
      </c>
      <c r="H198" s="16"/>
    </row>
    <row r="199" ht="15.75" customHeight="1">
      <c r="A199" s="8" t="str">
        <f t="shared" si="1"/>
        <v>ENT-0052</v>
      </c>
      <c r="B199" s="9">
        <v>46280.0</v>
      </c>
      <c r="C199" s="10" t="s">
        <v>939</v>
      </c>
      <c r="D199" s="12" t="str">
        <f t="array" ref="D199">IF(C199="","",IFERROR(INDEX(PRODUCTORES!$B:$B, MATCH(C199, PRODUCTORES!$F:$F, 0)) &amp; " " &amp; INDEX(PRODUCTORES!$C:$C, MATCH(C199, PRODUCTORES!$F:$F, 0)), IFERROR(INDEX(PRODUCTORES!$B:$B, MATCH(C199, PRODUCTORES!$A:$A, 0)) &amp; " " &amp; INDEX(PRODUCTORES!$C:$C, MATCH(C199, PRODUCTORES!$A:$A, 0)), IFERROR(TRIM(MID(C199, SEARCH(" - ", C199) + 3, 100)), "NO ENCONTRADO"))))</f>
        <v>SANTILLAN MARGARITA BEATRIZ</v>
      </c>
      <c r="E199" s="13" t="str">
        <f t="array" ref="E199">IF(C199="","",IFERROR(INDEX(PRODUCTORES!$D:$D, MATCH(C199, PRODUCTORES!$F:$F, 0)), IFERROR(INDEX(PRODUCTORES!$D:$D, MATCH(IF(ISNUMBER(SEARCH(" - ", C199)), LEFT(C199, SEARCH(" - ", C199) - 1), C199), PRODUCTORES!$A:$A, 0)), "-")))</f>
        <v>Sí</v>
      </c>
      <c r="F199" s="14" t="s">
        <v>70</v>
      </c>
      <c r="G199" s="15">
        <v>2.0</v>
      </c>
      <c r="H199" s="16"/>
    </row>
    <row r="200" ht="15.75" customHeight="1">
      <c r="A200" s="8" t="str">
        <f t="shared" si="1"/>
        <v>ENT-0052</v>
      </c>
      <c r="B200" s="9">
        <v>46280.0</v>
      </c>
      <c r="C200" s="10" t="s">
        <v>939</v>
      </c>
      <c r="D200" s="12" t="str">
        <f t="array" ref="D200">IF(C200="","",IFERROR(INDEX(PRODUCTORES!$B:$B, MATCH(C200, PRODUCTORES!$F:$F, 0)) &amp; " " &amp; INDEX(PRODUCTORES!$C:$C, MATCH(C200, PRODUCTORES!$F:$F, 0)), IFERROR(INDEX(PRODUCTORES!$B:$B, MATCH(C200, PRODUCTORES!$A:$A, 0)) &amp; " " &amp; INDEX(PRODUCTORES!$C:$C, MATCH(C200, PRODUCTORES!$A:$A, 0)), IFERROR(TRIM(MID(C200, SEARCH(" - ", C200) + 3, 100)), "NO ENCONTRADO"))))</f>
        <v>SANTILLAN MARGARITA BEATRIZ</v>
      </c>
      <c r="E200" s="13" t="str">
        <f t="array" ref="E200">IF(C200="","",IFERROR(INDEX(PRODUCTORES!$D:$D, MATCH(C200, PRODUCTORES!$F:$F, 0)), IFERROR(INDEX(PRODUCTORES!$D:$D, MATCH(IF(ISNUMBER(SEARCH(" - ", C200)), LEFT(C200, SEARCH(" - ", C200) - 1), C200), PRODUCTORES!$A:$A, 0)), "-")))</f>
        <v>Sí</v>
      </c>
      <c r="F200" s="14" t="s">
        <v>81</v>
      </c>
      <c r="G200" s="15">
        <v>2.0</v>
      </c>
      <c r="H200" s="16"/>
    </row>
    <row r="201" ht="15.75" customHeight="1">
      <c r="A201" s="8" t="str">
        <f t="shared" si="1"/>
        <v>ENT-0052</v>
      </c>
      <c r="B201" s="9">
        <v>46280.0</v>
      </c>
      <c r="C201" s="10" t="s">
        <v>939</v>
      </c>
      <c r="D201" s="12" t="str">
        <f t="array" ref="D201">IF(C201="","",IFERROR(INDEX(PRODUCTORES!$B:$B, MATCH(C201, PRODUCTORES!$F:$F, 0)) &amp; " " &amp; INDEX(PRODUCTORES!$C:$C, MATCH(C201, PRODUCTORES!$F:$F, 0)), IFERROR(INDEX(PRODUCTORES!$B:$B, MATCH(C201, PRODUCTORES!$A:$A, 0)) &amp; " " &amp; INDEX(PRODUCTORES!$C:$C, MATCH(C201, PRODUCTORES!$A:$A, 0)), IFERROR(TRIM(MID(C201, SEARCH(" - ", C201) + 3, 100)), "NO ENCONTRADO"))))</f>
        <v>SANTILLAN MARGARITA BEATRIZ</v>
      </c>
      <c r="E201" s="13" t="str">
        <f t="array" ref="E201">IF(C201="","",IFERROR(INDEX(PRODUCTORES!$D:$D, MATCH(C201, PRODUCTORES!$F:$F, 0)), IFERROR(INDEX(PRODUCTORES!$D:$D, MATCH(IF(ISNUMBER(SEARCH(" - ", C201)), LEFT(C201, SEARCH(" - ", C201) - 1), C201), PRODUCTORES!$A:$A, 0)), "-")))</f>
        <v>Sí</v>
      </c>
      <c r="F201" s="14" t="s">
        <v>50</v>
      </c>
      <c r="G201" s="15">
        <v>2.0</v>
      </c>
      <c r="H201" s="16"/>
    </row>
    <row r="202" ht="15.75" customHeight="1">
      <c r="A202" s="8" t="str">
        <f t="shared" si="1"/>
        <v>ENT-0053</v>
      </c>
      <c r="B202" s="9">
        <v>46280.0</v>
      </c>
      <c r="C202" s="10" t="s">
        <v>1337</v>
      </c>
      <c r="D202" s="12" t="str">
        <f t="array" ref="D202">IF(C202="","",IFERROR(INDEX(PRODUCTORES!$B:$B, MATCH(C202, PRODUCTORES!$F:$F, 0)) &amp; " " &amp; INDEX(PRODUCTORES!$C:$C, MATCH(C202, PRODUCTORES!$F:$F, 0)), IFERROR(INDEX(PRODUCTORES!$B:$B, MATCH(C202, PRODUCTORES!$A:$A, 0)) &amp; " " &amp; INDEX(PRODUCTORES!$C:$C, MATCH(C202, PRODUCTORES!$A:$A, 0)), IFERROR(TRIM(MID(C202, SEARCH(" - ", C202) + 3, 100)), "NO ENCONTRADO"))))</f>
        <v>SOTO BARRIENTOS NORMA ELIZABETH</v>
      </c>
      <c r="E202" s="13" t="str">
        <f t="array" ref="E202">IF(C202="","",IFERROR(INDEX(PRODUCTORES!$D:$D, MATCH(C202, PRODUCTORES!$F:$F, 0)), IFERROR(INDEX(PRODUCTORES!$D:$D, MATCH(IF(ISNUMBER(SEARCH(" - ", C202)), LEFT(C202, SEARCH(" - ", C202) - 1), C202), PRODUCTORES!$A:$A, 0)), "-")))</f>
        <v>Sí</v>
      </c>
      <c r="F202" s="14" t="s">
        <v>58</v>
      </c>
      <c r="G202" s="15">
        <v>9.0</v>
      </c>
      <c r="H202" s="16"/>
    </row>
    <row r="203" ht="15.75" customHeight="1">
      <c r="A203" s="8" t="str">
        <f t="shared" si="1"/>
        <v>ENT-0053</v>
      </c>
      <c r="B203" s="9">
        <v>46280.0</v>
      </c>
      <c r="C203" s="10" t="s">
        <v>1337</v>
      </c>
      <c r="D203" s="12" t="str">
        <f t="array" ref="D203">IF(C203="","",IFERROR(INDEX(PRODUCTORES!$B:$B, MATCH(C203, PRODUCTORES!$F:$F, 0)) &amp; " " &amp; INDEX(PRODUCTORES!$C:$C, MATCH(C203, PRODUCTORES!$F:$F, 0)), IFERROR(INDEX(PRODUCTORES!$B:$B, MATCH(C203, PRODUCTORES!$A:$A, 0)) &amp; " " &amp; INDEX(PRODUCTORES!$C:$C, MATCH(C203, PRODUCTORES!$A:$A, 0)), IFERROR(TRIM(MID(C203, SEARCH(" - ", C203) + 3, 100)), "NO ENCONTRADO"))))</f>
        <v>SOTO BARRIENTOS NORMA ELIZABETH</v>
      </c>
      <c r="E203" s="13" t="str">
        <f t="array" ref="E203">IF(C203="","",IFERROR(INDEX(PRODUCTORES!$D:$D, MATCH(C203, PRODUCTORES!$F:$F, 0)), IFERROR(INDEX(PRODUCTORES!$D:$D, MATCH(IF(ISNUMBER(SEARCH(" - ", C203)), LEFT(C203, SEARCH(" - ", C203) - 1), C203), PRODUCTORES!$A:$A, 0)), "-")))</f>
        <v>Sí</v>
      </c>
      <c r="F203" s="14" t="s">
        <v>81</v>
      </c>
      <c r="G203" s="15">
        <v>2.0</v>
      </c>
      <c r="H203" s="16"/>
    </row>
    <row r="204" ht="15.75" customHeight="1">
      <c r="A204" s="8" t="str">
        <f t="shared" si="1"/>
        <v>ENT-0054</v>
      </c>
      <c r="B204" s="9">
        <v>46280.0</v>
      </c>
      <c r="C204" s="10" t="s">
        <v>1360</v>
      </c>
      <c r="D204" s="12" t="str">
        <f t="array" ref="D204">IF(C204="","",IFERROR(INDEX(PRODUCTORES!$B:$B, MATCH(C204, PRODUCTORES!$F:$F, 0)) &amp; " " &amp; INDEX(PRODUCTORES!$C:$C, MATCH(C204, PRODUCTORES!$F:$F, 0)), IFERROR(INDEX(PRODUCTORES!$B:$B, MATCH(C204, PRODUCTORES!$A:$A, 0)) &amp; " " &amp; INDEX(PRODUCTORES!$C:$C, MATCH(C204, PRODUCTORES!$A:$A, 0)), IFERROR(TRIM(MID(C204, SEARCH(" - ", C204) + 3, 100)), "NO ENCONTRADO"))))</f>
        <v>TORRES AGUILAR GREDY MARIBEL</v>
      </c>
      <c r="E204" s="13" t="str">
        <f t="array" ref="E204">IF(C204="","",IFERROR(INDEX(PRODUCTORES!$D:$D, MATCH(C204, PRODUCTORES!$F:$F, 0)), IFERROR(INDEX(PRODUCTORES!$D:$D, MATCH(IF(ISNUMBER(SEARCH(" - ", C204)), LEFT(C204, SEARCH(" - ", C204) - 1), C204), PRODUCTORES!$A:$A, 0)), "-")))</f>
        <v>Sí</v>
      </c>
      <c r="F204" s="14" t="s">
        <v>58</v>
      </c>
      <c r="G204" s="15">
        <v>5.0</v>
      </c>
      <c r="H204" s="16"/>
    </row>
    <row r="205" ht="15.75" customHeight="1">
      <c r="A205" s="8" t="str">
        <f t="shared" si="1"/>
        <v>ENT-0054</v>
      </c>
      <c r="B205" s="9">
        <v>46280.0</v>
      </c>
      <c r="C205" s="10" t="s">
        <v>1360</v>
      </c>
      <c r="D205" s="12" t="str">
        <f t="array" ref="D205">IF(C205="","",IFERROR(INDEX(PRODUCTORES!$B:$B, MATCH(C205, PRODUCTORES!$F:$F, 0)) &amp; " " &amp; INDEX(PRODUCTORES!$C:$C, MATCH(C205, PRODUCTORES!$F:$F, 0)), IFERROR(INDEX(PRODUCTORES!$B:$B, MATCH(C205, PRODUCTORES!$A:$A, 0)) &amp; " " &amp; INDEX(PRODUCTORES!$C:$C, MATCH(C205, PRODUCTORES!$A:$A, 0)), IFERROR(TRIM(MID(C205, SEARCH(" - ", C205) + 3, 100)), "NO ENCONTRADO"))))</f>
        <v>TORRES AGUILAR GREDY MARIBEL</v>
      </c>
      <c r="E205" s="13" t="str">
        <f t="array" ref="E205">IF(C205="","",IFERROR(INDEX(PRODUCTORES!$D:$D, MATCH(C205, PRODUCTORES!$F:$F, 0)), IFERROR(INDEX(PRODUCTORES!$D:$D, MATCH(IF(ISNUMBER(SEARCH(" - ", C205)), LEFT(C205, SEARCH(" - ", C205) - 1), C205), PRODUCTORES!$A:$A, 0)), "-")))</f>
        <v>Sí</v>
      </c>
      <c r="F205" s="14" t="s">
        <v>70</v>
      </c>
      <c r="G205" s="15">
        <v>2.0</v>
      </c>
      <c r="H205" s="16"/>
    </row>
    <row r="206" ht="15.75" customHeight="1">
      <c r="A206" s="8" t="str">
        <f t="shared" si="1"/>
        <v>ENT-0054</v>
      </c>
      <c r="B206" s="9">
        <v>46280.0</v>
      </c>
      <c r="C206" s="10" t="s">
        <v>1360</v>
      </c>
      <c r="D206" s="12" t="str">
        <f t="array" ref="D206">IF(C206="","",IFERROR(INDEX(PRODUCTORES!$B:$B, MATCH(C206, PRODUCTORES!$F:$F, 0)) &amp; " " &amp; INDEX(PRODUCTORES!$C:$C, MATCH(C206, PRODUCTORES!$F:$F, 0)), IFERROR(INDEX(PRODUCTORES!$B:$B, MATCH(C206, PRODUCTORES!$A:$A, 0)) &amp; " " &amp; INDEX(PRODUCTORES!$C:$C, MATCH(C206, PRODUCTORES!$A:$A, 0)), IFERROR(TRIM(MID(C206, SEARCH(" - ", C206) + 3, 100)), "NO ENCONTRADO"))))</f>
        <v>TORRES AGUILAR GREDY MARIBEL</v>
      </c>
      <c r="E206" s="13" t="str">
        <f t="array" ref="E206">IF(C206="","",IFERROR(INDEX(PRODUCTORES!$D:$D, MATCH(C206, PRODUCTORES!$F:$F, 0)), IFERROR(INDEX(PRODUCTORES!$D:$D, MATCH(IF(ISNUMBER(SEARCH(" - ", C206)), LEFT(C206, SEARCH(" - ", C206) - 1), C206), PRODUCTORES!$A:$A, 0)), "-")))</f>
        <v>Sí</v>
      </c>
      <c r="F206" s="14" t="s">
        <v>50</v>
      </c>
      <c r="G206" s="15">
        <v>2.0</v>
      </c>
      <c r="H206" s="16"/>
    </row>
    <row r="207" ht="15.75" customHeight="1">
      <c r="A207" s="8" t="str">
        <f t="shared" si="1"/>
        <v>ENT-0054</v>
      </c>
      <c r="B207" s="9">
        <v>46280.0</v>
      </c>
      <c r="C207" s="10" t="s">
        <v>1360</v>
      </c>
      <c r="D207" s="12" t="str">
        <f t="array" ref="D207">IF(C207="","",IFERROR(INDEX(PRODUCTORES!$B:$B, MATCH(C207, PRODUCTORES!$F:$F, 0)) &amp; " " &amp; INDEX(PRODUCTORES!$C:$C, MATCH(C207, PRODUCTORES!$F:$F, 0)), IFERROR(INDEX(PRODUCTORES!$B:$B, MATCH(C207, PRODUCTORES!$A:$A, 0)) &amp; " " &amp; INDEX(PRODUCTORES!$C:$C, MATCH(C207, PRODUCTORES!$A:$A, 0)), IFERROR(TRIM(MID(C207, SEARCH(" - ", C207) + 3, 100)), "NO ENCONTRADO"))))</f>
        <v>TORRES AGUILAR GREDY MARIBEL</v>
      </c>
      <c r="E207" s="13" t="str">
        <f t="array" ref="E207">IF(C207="","",IFERROR(INDEX(PRODUCTORES!$D:$D, MATCH(C207, PRODUCTORES!$F:$F, 0)), IFERROR(INDEX(PRODUCTORES!$D:$D, MATCH(IF(ISNUMBER(SEARCH(" - ", C207)), LEFT(C207, SEARCH(" - ", C207) - 1), C207), PRODUCTORES!$A:$A, 0)), "-")))</f>
        <v>Sí</v>
      </c>
      <c r="F207" s="14" t="s">
        <v>78</v>
      </c>
      <c r="G207" s="15">
        <v>2.0</v>
      </c>
      <c r="H207" s="16"/>
    </row>
    <row r="208" ht="15.75" customHeight="1">
      <c r="A208" s="8" t="str">
        <f t="shared" si="1"/>
        <v>ENT-0054</v>
      </c>
      <c r="B208" s="9">
        <v>46280.0</v>
      </c>
      <c r="C208" s="10" t="s">
        <v>1360</v>
      </c>
      <c r="D208" s="12" t="str">
        <f t="array" ref="D208">IF(C208="","",IFERROR(INDEX(PRODUCTORES!$B:$B, MATCH(C208, PRODUCTORES!$F:$F, 0)) &amp; " " &amp; INDEX(PRODUCTORES!$C:$C, MATCH(C208, PRODUCTORES!$F:$F, 0)), IFERROR(INDEX(PRODUCTORES!$B:$B, MATCH(C208, PRODUCTORES!$A:$A, 0)) &amp; " " &amp; INDEX(PRODUCTORES!$C:$C, MATCH(C208, PRODUCTORES!$A:$A, 0)), IFERROR(TRIM(MID(C208, SEARCH(" - ", C208) + 3, 100)), "NO ENCONTRADO"))))</f>
        <v>TORRES AGUILAR GREDY MARIBEL</v>
      </c>
      <c r="E208" s="13" t="str">
        <f t="array" ref="E208">IF(C208="","",IFERROR(INDEX(PRODUCTORES!$D:$D, MATCH(C208, PRODUCTORES!$F:$F, 0)), IFERROR(INDEX(PRODUCTORES!$D:$D, MATCH(IF(ISNUMBER(SEARCH(" - ", C208)), LEFT(C208, SEARCH(" - ", C208) - 1), C208), PRODUCTORES!$A:$A, 0)), "-")))</f>
        <v>Sí</v>
      </c>
      <c r="F208" s="14" t="s">
        <v>81</v>
      </c>
      <c r="G208" s="15">
        <v>1.0</v>
      </c>
      <c r="H208" s="16"/>
    </row>
    <row r="209" ht="15.75" customHeight="1">
      <c r="A209" s="8" t="str">
        <f t="shared" si="1"/>
        <v>ENT-0055</v>
      </c>
      <c r="B209" s="9">
        <v>46280.0</v>
      </c>
      <c r="C209" s="10" t="s">
        <v>1404</v>
      </c>
      <c r="D209" s="12" t="str">
        <f t="array" ref="D209">IF(C209="","",IFERROR(INDEX(PRODUCTORES!$B:$B, MATCH(C209, PRODUCTORES!$F:$F, 0)) &amp; " " &amp; INDEX(PRODUCTORES!$C:$C, MATCH(C209, PRODUCTORES!$F:$F, 0)), IFERROR(INDEX(PRODUCTORES!$B:$B, MATCH(C209, PRODUCTORES!$A:$A, 0)) &amp; " " &amp; INDEX(PRODUCTORES!$C:$C, MATCH(C209, PRODUCTORES!$A:$A, 0)), IFERROR(TRIM(MID(C209, SEARCH(" - ", C209) + 3, 100)), "NO ENCONTRADO"))))</f>
        <v>VARGAS OJEDA SEGUNDO</v>
      </c>
      <c r="E209" s="13" t="str">
        <f t="array" ref="E209">IF(C209="","",IFERROR(INDEX(PRODUCTORES!$D:$D, MATCH(C209, PRODUCTORES!$F:$F, 0)), IFERROR(INDEX(PRODUCTORES!$D:$D, MATCH(IF(ISNUMBER(SEARCH(" - ", C209)), LEFT(C209, SEARCH(" - ", C209) - 1), C209), PRODUCTORES!$A:$A, 0)), "-")))</f>
        <v>Sí</v>
      </c>
      <c r="F209" s="14" t="s">
        <v>58</v>
      </c>
      <c r="G209" s="15">
        <v>12.0</v>
      </c>
      <c r="H209" s="16"/>
    </row>
    <row r="210" ht="15.75" customHeight="1">
      <c r="A210" s="8" t="str">
        <f t="shared" si="1"/>
        <v>ENT-0055</v>
      </c>
      <c r="B210" s="9">
        <v>46280.0</v>
      </c>
      <c r="C210" s="10" t="s">
        <v>1404</v>
      </c>
      <c r="D210" s="12" t="str">
        <f t="array" ref="D210">IF(C210="","",IFERROR(INDEX(PRODUCTORES!$B:$B, MATCH(C210, PRODUCTORES!$F:$F, 0)) &amp; " " &amp; INDEX(PRODUCTORES!$C:$C, MATCH(C210, PRODUCTORES!$F:$F, 0)), IFERROR(INDEX(PRODUCTORES!$B:$B, MATCH(C210, PRODUCTORES!$A:$A, 0)) &amp; " " &amp; INDEX(PRODUCTORES!$C:$C, MATCH(C210, PRODUCTORES!$A:$A, 0)), IFERROR(TRIM(MID(C210, SEARCH(" - ", C210) + 3, 100)), "NO ENCONTRADO"))))</f>
        <v>VARGAS OJEDA SEGUNDO</v>
      </c>
      <c r="E210" s="13" t="str">
        <f t="array" ref="E210">IF(C210="","",IFERROR(INDEX(PRODUCTORES!$D:$D, MATCH(C210, PRODUCTORES!$F:$F, 0)), IFERROR(INDEX(PRODUCTORES!$D:$D, MATCH(IF(ISNUMBER(SEARCH(" - ", C210)), LEFT(C210, SEARCH(" - ", C210) - 1), C210), PRODUCTORES!$A:$A, 0)), "-")))</f>
        <v>Sí</v>
      </c>
      <c r="F210" s="14" t="s">
        <v>70</v>
      </c>
      <c r="G210" s="15">
        <v>4.0</v>
      </c>
      <c r="H210" s="16"/>
    </row>
    <row r="211" ht="15.75" customHeight="1">
      <c r="A211" s="8" t="str">
        <f t="shared" si="1"/>
        <v>ENT-0056</v>
      </c>
      <c r="B211" s="9">
        <v>46280.0</v>
      </c>
      <c r="C211" s="10" t="s">
        <v>1426</v>
      </c>
      <c r="D211" s="12" t="str">
        <f t="array" ref="D211">IF(C211="","",IFERROR(INDEX(PRODUCTORES!$B:$B, MATCH(C211, PRODUCTORES!$F:$F, 0)) &amp; " " &amp; INDEX(PRODUCTORES!$C:$C, MATCH(C211, PRODUCTORES!$F:$F, 0)), IFERROR(INDEX(PRODUCTORES!$B:$B, MATCH(C211, PRODUCTORES!$A:$A, 0)) &amp; " " &amp; INDEX(PRODUCTORES!$C:$C, MATCH(C211, PRODUCTORES!$A:$A, 0)), IFERROR(TRIM(MID(C211, SEARCH(" - ", C211) + 3, 100)), "NO ENCONTRADO"))))</f>
        <v>VILLALOBOS GUSTAVO JAVIER</v>
      </c>
      <c r="E211" s="13" t="str">
        <f t="array" ref="E211">IF(C211="","",IFERROR(INDEX(PRODUCTORES!$D:$D, MATCH(C211, PRODUCTORES!$F:$F, 0)), IFERROR(INDEX(PRODUCTORES!$D:$D, MATCH(IF(ISNUMBER(SEARCH(" - ", C211)), LEFT(C211, SEARCH(" - ", C211) - 1), C211), PRODUCTORES!$A:$A, 0)), "-")))</f>
        <v>Sí</v>
      </c>
      <c r="F211" s="14" t="s">
        <v>58</v>
      </c>
      <c r="G211" s="15">
        <v>14.0</v>
      </c>
      <c r="H211" s="16"/>
    </row>
    <row r="212" ht="15.75" customHeight="1">
      <c r="A212" s="8" t="str">
        <f t="shared" si="1"/>
        <v>ENT-0056</v>
      </c>
      <c r="B212" s="9">
        <v>46280.0</v>
      </c>
      <c r="C212" s="10" t="s">
        <v>1426</v>
      </c>
      <c r="D212" s="12" t="str">
        <f t="array" ref="D212">IF(C212="","",IFERROR(INDEX(PRODUCTORES!$B:$B, MATCH(C212, PRODUCTORES!$F:$F, 0)) &amp; " " &amp; INDEX(PRODUCTORES!$C:$C, MATCH(C212, PRODUCTORES!$F:$F, 0)), IFERROR(INDEX(PRODUCTORES!$B:$B, MATCH(C212, PRODUCTORES!$A:$A, 0)) &amp; " " &amp; INDEX(PRODUCTORES!$C:$C, MATCH(C212, PRODUCTORES!$A:$A, 0)), IFERROR(TRIM(MID(C212, SEARCH(" - ", C212) + 3, 100)), "NO ENCONTRADO"))))</f>
        <v>VILLALOBOS GUSTAVO JAVIER</v>
      </c>
      <c r="E212" s="13" t="str">
        <f t="array" ref="E212">IF(C212="","",IFERROR(INDEX(PRODUCTORES!$D:$D, MATCH(C212, PRODUCTORES!$F:$F, 0)), IFERROR(INDEX(PRODUCTORES!$D:$D, MATCH(IF(ISNUMBER(SEARCH(" - ", C212)), LEFT(C212, SEARCH(" - ", C212) - 1), C212), PRODUCTORES!$A:$A, 0)), "-")))</f>
        <v>Sí</v>
      </c>
      <c r="F212" s="14" t="s">
        <v>46</v>
      </c>
      <c r="G212" s="15">
        <v>2.0</v>
      </c>
      <c r="H212" s="16"/>
    </row>
    <row r="213" ht="15.75" customHeight="1">
      <c r="A213" s="8" t="str">
        <f t="shared" si="1"/>
        <v>ENT-0056</v>
      </c>
      <c r="B213" s="9">
        <v>46280.0</v>
      </c>
      <c r="C213" s="10" t="s">
        <v>1426</v>
      </c>
      <c r="D213" s="12" t="str">
        <f t="array" ref="D213">IF(C213="","",IFERROR(INDEX(PRODUCTORES!$B:$B, MATCH(C213, PRODUCTORES!$F:$F, 0)) &amp; " " &amp; INDEX(PRODUCTORES!$C:$C, MATCH(C213, PRODUCTORES!$F:$F, 0)), IFERROR(INDEX(PRODUCTORES!$B:$B, MATCH(C213, PRODUCTORES!$A:$A, 0)) &amp; " " &amp; INDEX(PRODUCTORES!$C:$C, MATCH(C213, PRODUCTORES!$A:$A, 0)), IFERROR(TRIM(MID(C213, SEARCH(" - ", C213) + 3, 100)), "NO ENCONTRADO"))))</f>
        <v>VILLALOBOS GUSTAVO JAVIER</v>
      </c>
      <c r="E213" s="13" t="str">
        <f t="array" ref="E213">IF(C213="","",IFERROR(INDEX(PRODUCTORES!$D:$D, MATCH(C213, PRODUCTORES!$F:$F, 0)), IFERROR(INDEX(PRODUCTORES!$D:$D, MATCH(IF(ISNUMBER(SEARCH(" - ", C213)), LEFT(C213, SEARCH(" - ", C213) - 1), C213), PRODUCTORES!$A:$A, 0)), "-")))</f>
        <v>Sí</v>
      </c>
      <c r="F213" s="14" t="s">
        <v>11</v>
      </c>
      <c r="G213" s="15">
        <v>3.0</v>
      </c>
      <c r="H213" s="16"/>
    </row>
    <row r="214" ht="15.75" customHeight="1">
      <c r="A214" s="8" t="str">
        <f t="shared" si="1"/>
        <v>ENT-0056</v>
      </c>
      <c r="B214" s="9">
        <v>46280.0</v>
      </c>
      <c r="C214" s="10" t="s">
        <v>1426</v>
      </c>
      <c r="D214" s="12" t="str">
        <f t="array" ref="D214">IF(C214="","",IFERROR(INDEX(PRODUCTORES!$B:$B, MATCH(C214, PRODUCTORES!$F:$F, 0)) &amp; " " &amp; INDEX(PRODUCTORES!$C:$C, MATCH(C214, PRODUCTORES!$F:$F, 0)), IFERROR(INDEX(PRODUCTORES!$B:$B, MATCH(C214, PRODUCTORES!$A:$A, 0)) &amp; " " &amp; INDEX(PRODUCTORES!$C:$C, MATCH(C214, PRODUCTORES!$A:$A, 0)), IFERROR(TRIM(MID(C214, SEARCH(" - ", C214) + 3, 100)), "NO ENCONTRADO"))))</f>
        <v>VILLALOBOS GUSTAVO JAVIER</v>
      </c>
      <c r="E214" s="13" t="str">
        <f t="array" ref="E214">IF(C214="","",IFERROR(INDEX(PRODUCTORES!$D:$D, MATCH(C214, PRODUCTORES!$F:$F, 0)), IFERROR(INDEX(PRODUCTORES!$D:$D, MATCH(IF(ISNUMBER(SEARCH(" - ", C214)), LEFT(C214, SEARCH(" - ", C214) - 1), C214), PRODUCTORES!$A:$A, 0)), "-")))</f>
        <v>Sí</v>
      </c>
      <c r="F214" s="14" t="s">
        <v>81</v>
      </c>
      <c r="G214" s="15">
        <v>1.0</v>
      </c>
      <c r="H214" s="16"/>
    </row>
    <row r="215" ht="15.75" customHeight="1">
      <c r="A215" s="8" t="str">
        <f t="shared" si="1"/>
        <v>ENT-0056</v>
      </c>
      <c r="B215" s="9">
        <v>46280.0</v>
      </c>
      <c r="C215" s="10" t="s">
        <v>1426</v>
      </c>
      <c r="D215" s="12" t="str">
        <f t="array" ref="D215">IF(C215="","",IFERROR(INDEX(PRODUCTORES!$B:$B, MATCH(C215, PRODUCTORES!$F:$F, 0)) &amp; " " &amp; INDEX(PRODUCTORES!$C:$C, MATCH(C215, PRODUCTORES!$F:$F, 0)), IFERROR(INDEX(PRODUCTORES!$B:$B, MATCH(C215, PRODUCTORES!$A:$A, 0)) &amp; " " &amp; INDEX(PRODUCTORES!$C:$C, MATCH(C215, PRODUCTORES!$A:$A, 0)), IFERROR(TRIM(MID(C215, SEARCH(" - ", C215) + 3, 100)), "NO ENCONTRADO"))))</f>
        <v>VILLALOBOS GUSTAVO JAVIER</v>
      </c>
      <c r="E215" s="13" t="str">
        <f t="array" ref="E215">IF(C215="","",IFERROR(INDEX(PRODUCTORES!$D:$D, MATCH(C215, PRODUCTORES!$F:$F, 0)), IFERROR(INDEX(PRODUCTORES!$D:$D, MATCH(IF(ISNUMBER(SEARCH(" - ", C215)), LEFT(C215, SEARCH(" - ", C215) - 1), C215), PRODUCTORES!$A:$A, 0)), "-")))</f>
        <v>Sí</v>
      </c>
      <c r="F215" s="14" t="s">
        <v>70</v>
      </c>
      <c r="G215" s="15">
        <v>1.0</v>
      </c>
      <c r="H215" s="16"/>
    </row>
    <row r="216" ht="15.75" customHeight="1">
      <c r="A216" s="8" t="str">
        <f t="shared" si="1"/>
        <v>ENT-0056</v>
      </c>
      <c r="B216" s="9">
        <v>46280.0</v>
      </c>
      <c r="C216" s="10" t="s">
        <v>1426</v>
      </c>
      <c r="D216" s="12" t="str">
        <f t="array" ref="D216">IF(C216="","",IFERROR(INDEX(PRODUCTORES!$B:$B, MATCH(C216, PRODUCTORES!$F:$F, 0)) &amp; " " &amp; INDEX(PRODUCTORES!$C:$C, MATCH(C216, PRODUCTORES!$F:$F, 0)), IFERROR(INDEX(PRODUCTORES!$B:$B, MATCH(C216, PRODUCTORES!$A:$A, 0)) &amp; " " &amp; INDEX(PRODUCTORES!$C:$C, MATCH(C216, PRODUCTORES!$A:$A, 0)), IFERROR(TRIM(MID(C216, SEARCH(" - ", C216) + 3, 100)), "NO ENCONTRADO"))))</f>
        <v>VILLALOBOS GUSTAVO JAVIER</v>
      </c>
      <c r="E216" s="13" t="str">
        <f t="array" ref="E216">IF(C216="","",IFERROR(INDEX(PRODUCTORES!$D:$D, MATCH(C216, PRODUCTORES!$F:$F, 0)), IFERROR(INDEX(PRODUCTORES!$D:$D, MATCH(IF(ISNUMBER(SEARCH(" - ", C216)), LEFT(C216, SEARCH(" - ", C216) - 1), C216), PRODUCTORES!$A:$A, 0)), "-")))</f>
        <v>Sí</v>
      </c>
      <c r="F216" s="14" t="s">
        <v>50</v>
      </c>
      <c r="G216" s="15">
        <v>2.0</v>
      </c>
      <c r="H216" s="16"/>
    </row>
    <row r="217" ht="15.75" customHeight="1">
      <c r="A217" s="8" t="str">
        <f t="shared" si="1"/>
        <v>ENT-0056</v>
      </c>
      <c r="B217" s="9">
        <v>46280.0</v>
      </c>
      <c r="C217" s="10" t="s">
        <v>1426</v>
      </c>
      <c r="D217" s="12" t="str">
        <f t="array" ref="D217">IF(C217="","",IFERROR(INDEX(PRODUCTORES!$B:$B, MATCH(C217, PRODUCTORES!$F:$F, 0)) &amp; " " &amp; INDEX(PRODUCTORES!$C:$C, MATCH(C217, PRODUCTORES!$F:$F, 0)), IFERROR(INDEX(PRODUCTORES!$B:$B, MATCH(C217, PRODUCTORES!$A:$A, 0)) &amp; " " &amp; INDEX(PRODUCTORES!$C:$C, MATCH(C217, PRODUCTORES!$A:$A, 0)), IFERROR(TRIM(MID(C217, SEARCH(" - ", C217) + 3, 100)), "NO ENCONTRADO"))))</f>
        <v>VILLALOBOS GUSTAVO JAVIER</v>
      </c>
      <c r="E217" s="13" t="str">
        <f t="array" ref="E217">IF(C217="","",IFERROR(INDEX(PRODUCTORES!$D:$D, MATCH(C217, PRODUCTORES!$F:$F, 0)), IFERROR(INDEX(PRODUCTORES!$D:$D, MATCH(IF(ISNUMBER(SEARCH(" - ", C217)), LEFT(C217, SEARCH(" - ", C217) - 1), C217), PRODUCTORES!$A:$A, 0)), "-")))</f>
        <v>Sí</v>
      </c>
      <c r="F217" s="14" t="s">
        <v>78</v>
      </c>
      <c r="G217" s="15">
        <v>2.0</v>
      </c>
      <c r="H217" s="16"/>
    </row>
    <row r="218" ht="15.75" customHeight="1">
      <c r="A218" s="8" t="str">
        <f t="shared" si="1"/>
        <v>ENT-0057</v>
      </c>
      <c r="B218" s="9">
        <v>46280.0</v>
      </c>
      <c r="C218" s="10" t="s">
        <v>1281</v>
      </c>
      <c r="D218" s="12" t="str">
        <f t="array" ref="D218">IF(C218="","",IFERROR(INDEX(PRODUCTORES!$B:$B, MATCH(C218, PRODUCTORES!$F:$F, 0)) &amp; " " &amp; INDEX(PRODUCTORES!$C:$C, MATCH(C218, PRODUCTORES!$F:$F, 0)), IFERROR(INDEX(PRODUCTORES!$B:$B, MATCH(C218, PRODUCTORES!$A:$A, 0)) &amp; " " &amp; INDEX(PRODUCTORES!$C:$C, MATCH(C218, PRODUCTORES!$A:$A, 0)), IFERROR(TRIM(MID(C218, SEARCH(" - ", C218) + 3, 100)), "NO ENCONTRADO"))))</f>
        <v>SALDIVIA MARCELO</v>
      </c>
      <c r="E218" s="13" t="str">
        <f t="array" ref="E218">IF(C218="","",IFERROR(INDEX(PRODUCTORES!$D:$D, MATCH(C218, PRODUCTORES!$F:$F, 0)), IFERROR(INDEX(PRODUCTORES!$D:$D, MATCH(IF(ISNUMBER(SEARCH(" - ", C218)), LEFT(C218, SEARCH(" - ", C218) - 1), C218), PRODUCTORES!$A:$A, 0)), "-")))</f>
        <v>No</v>
      </c>
      <c r="F218" s="14" t="s">
        <v>58</v>
      </c>
      <c r="G218" s="15">
        <v>35.0</v>
      </c>
      <c r="H218" s="16"/>
    </row>
    <row r="219" ht="15.75" customHeight="1">
      <c r="A219" s="3" t="str">
        <f t="shared" si="1"/>
        <v>ENT-0058</v>
      </c>
      <c r="B219" s="23">
        <v>46279.0</v>
      </c>
      <c r="C219" s="24" t="s">
        <v>305</v>
      </c>
      <c r="D219" s="25" t="str">
        <f t="array" ref="D219">IF(C219="","",IFERROR(INDEX(PRODUCTORES!$B:$B, MATCH(C219, PRODUCTORES!$F:$F, 0)) &amp; " " &amp; INDEX(PRODUCTORES!$C:$C, MATCH(C219, PRODUCTORES!$F:$F, 0)), IFERROR(INDEX(PRODUCTORES!$B:$B, MATCH(C219, PRODUCTORES!$A:$A, 0)) &amp; " " &amp; INDEX(PRODUCTORES!$C:$C, MATCH(C219, PRODUCTORES!$A:$A, 0)), IFERROR(TRIM(MID(C219, SEARCH(" - ", C219) + 3, 100)), "NO ENCONTRADO"))))</f>
        <v>BARRIA VITO VIVIANA ANDREA</v>
      </c>
      <c r="E219" s="26" t="str">
        <f t="array" ref="E219">IF(C219="","",IFERROR(INDEX(PRODUCTORES!$D:$D, MATCH(C219, PRODUCTORES!$F:$F, 0)), IFERROR(INDEX(PRODUCTORES!$D:$D, MATCH(IF(ISNUMBER(SEARCH(" - ", C219)), LEFT(C219, SEARCH(" - ", C219) - 1), C219), PRODUCTORES!$A:$A, 0)), "-")))</f>
        <v>Sí</v>
      </c>
      <c r="F219" s="27" t="s">
        <v>70</v>
      </c>
      <c r="G219" s="28">
        <v>1.0</v>
      </c>
      <c r="H219" s="29"/>
    </row>
    <row r="220" ht="15.75" customHeight="1">
      <c r="A220" s="3" t="str">
        <f t="shared" si="1"/>
        <v>ENT-0058</v>
      </c>
      <c r="B220" s="23">
        <v>46279.0</v>
      </c>
      <c r="C220" s="24" t="s">
        <v>305</v>
      </c>
      <c r="D220" s="25" t="str">
        <f t="array" ref="D220">IF(C220="","",IFERROR(INDEX(PRODUCTORES!$B:$B, MATCH(C220, PRODUCTORES!$F:$F, 0)) &amp; " " &amp; INDEX(PRODUCTORES!$C:$C, MATCH(C220, PRODUCTORES!$F:$F, 0)), IFERROR(INDEX(PRODUCTORES!$B:$B, MATCH(C220, PRODUCTORES!$A:$A, 0)) &amp; " " &amp; INDEX(PRODUCTORES!$C:$C, MATCH(C220, PRODUCTORES!$A:$A, 0)), IFERROR(TRIM(MID(C220, SEARCH(" - ", C220) + 3, 100)), "NO ENCONTRADO"))))</f>
        <v>BARRIA VITO VIVIANA ANDREA</v>
      </c>
      <c r="E220" s="26" t="str">
        <f t="array" ref="E220">IF(C220="","",IFERROR(INDEX(PRODUCTORES!$D:$D, MATCH(C220, PRODUCTORES!$F:$F, 0)), IFERROR(INDEX(PRODUCTORES!$D:$D, MATCH(IF(ISNUMBER(SEARCH(" - ", C220)), LEFT(C220, SEARCH(" - ", C220) - 1), C220), PRODUCTORES!$A:$A, 0)), "-")))</f>
        <v>Sí</v>
      </c>
      <c r="F220" s="27" t="s">
        <v>50</v>
      </c>
      <c r="G220" s="28">
        <v>1.0</v>
      </c>
      <c r="H220" s="29"/>
    </row>
    <row r="221" ht="15.75" customHeight="1">
      <c r="A221" s="3" t="str">
        <f t="shared" si="1"/>
        <v>ENT-0059</v>
      </c>
      <c r="B221" s="23">
        <v>46279.0</v>
      </c>
      <c r="C221" s="24" t="s">
        <v>530</v>
      </c>
      <c r="D221" s="25" t="str">
        <f t="array" ref="D221">IF(C221="","",IFERROR(INDEX(PRODUCTORES!$B:$B, MATCH(C221, PRODUCTORES!$F:$F, 0)) &amp; " " &amp; INDEX(PRODUCTORES!$C:$C, MATCH(C221, PRODUCTORES!$F:$F, 0)), IFERROR(INDEX(PRODUCTORES!$B:$B, MATCH(C221, PRODUCTORES!$A:$A, 0)) &amp; " " &amp; INDEX(PRODUCTORES!$C:$C, MATCH(C221, PRODUCTORES!$A:$A, 0)), IFERROR(TRIM(MID(C221, SEARCH(" - ", C221) + 3, 100)), "NO ENCONTRADO"))))</f>
        <v>DIEZ DE LOS RIOS GUSTAVO</v>
      </c>
      <c r="E221" s="26" t="str">
        <f t="array" ref="E221">IF(C221="","",IFERROR(INDEX(PRODUCTORES!$D:$D, MATCH(C221, PRODUCTORES!$F:$F, 0)), IFERROR(INDEX(PRODUCTORES!$D:$D, MATCH(IF(ISNUMBER(SEARCH(" - ", C221)), LEFT(C221, SEARCH(" - ", C221) - 1), C221), PRODUCTORES!$A:$A, 0)), "-")))</f>
        <v>Sí</v>
      </c>
      <c r="F221" s="27" t="s">
        <v>85</v>
      </c>
      <c r="G221" s="28">
        <v>1.0</v>
      </c>
      <c r="H221" s="29"/>
    </row>
    <row r="222" ht="15.75" customHeight="1">
      <c r="A222" s="3" t="str">
        <f t="shared" si="1"/>
        <v>ENT-0059</v>
      </c>
      <c r="B222" s="23">
        <v>46279.0</v>
      </c>
      <c r="C222" s="24" t="s">
        <v>530</v>
      </c>
      <c r="D222" s="25" t="str">
        <f t="array" ref="D222">IF(C222="","",IFERROR(INDEX(PRODUCTORES!$B:$B, MATCH(C222, PRODUCTORES!$F:$F, 0)) &amp; " " &amp; INDEX(PRODUCTORES!$C:$C, MATCH(C222, PRODUCTORES!$F:$F, 0)), IFERROR(INDEX(PRODUCTORES!$B:$B, MATCH(C222, PRODUCTORES!$A:$A, 0)) &amp; " " &amp; INDEX(PRODUCTORES!$C:$C, MATCH(C222, PRODUCTORES!$A:$A, 0)), IFERROR(TRIM(MID(C222, SEARCH(" - ", C222) + 3, 100)), "NO ENCONTRADO"))))</f>
        <v>DIEZ DE LOS RIOS GUSTAVO</v>
      </c>
      <c r="E222" s="26" t="str">
        <f t="array" ref="E222">IF(C222="","",IFERROR(INDEX(PRODUCTORES!$D:$D, MATCH(C222, PRODUCTORES!$F:$F, 0)), IFERROR(INDEX(PRODUCTORES!$D:$D, MATCH(IF(ISNUMBER(SEARCH(" - ", C222)), LEFT(C222, SEARCH(" - ", C222) - 1), C222), PRODUCTORES!$A:$A, 0)), "-")))</f>
        <v>Sí</v>
      </c>
      <c r="F222" s="27" t="s">
        <v>66</v>
      </c>
      <c r="G222" s="28">
        <v>1.0</v>
      </c>
      <c r="H222" s="29"/>
    </row>
    <row r="223" ht="15.75" customHeight="1">
      <c r="A223" s="3" t="str">
        <f t="shared" si="1"/>
        <v>ENT-0059</v>
      </c>
      <c r="B223" s="23">
        <v>46279.0</v>
      </c>
      <c r="C223" s="24" t="s">
        <v>530</v>
      </c>
      <c r="D223" s="25" t="str">
        <f t="array" ref="D223">IF(C223="","",IFERROR(INDEX(PRODUCTORES!$B:$B, MATCH(C223, PRODUCTORES!$F:$F, 0)) &amp; " " &amp; INDEX(PRODUCTORES!$C:$C, MATCH(C223, PRODUCTORES!$F:$F, 0)), IFERROR(INDEX(PRODUCTORES!$B:$B, MATCH(C223, PRODUCTORES!$A:$A, 0)) &amp; " " &amp; INDEX(PRODUCTORES!$C:$C, MATCH(C223, PRODUCTORES!$A:$A, 0)), IFERROR(TRIM(MID(C223, SEARCH(" - ", C223) + 3, 100)), "NO ENCONTRADO"))))</f>
        <v>DIEZ DE LOS RIOS GUSTAVO</v>
      </c>
      <c r="E223" s="26" t="str">
        <f t="array" ref="E223">IF(C223="","",IFERROR(INDEX(PRODUCTORES!$D:$D, MATCH(C223, PRODUCTORES!$F:$F, 0)), IFERROR(INDEX(PRODUCTORES!$D:$D, MATCH(IF(ISNUMBER(SEARCH(" - ", C223)), LEFT(C223, SEARCH(" - ", C223) - 1), C223), PRODUCTORES!$A:$A, 0)), "-")))</f>
        <v>Sí</v>
      </c>
      <c r="F223" s="27" t="s">
        <v>46</v>
      </c>
      <c r="G223" s="28">
        <v>1.0</v>
      </c>
      <c r="H223" s="29"/>
    </row>
    <row r="224" ht="15.75" customHeight="1">
      <c r="A224" s="3" t="str">
        <f t="shared" si="1"/>
        <v>ENT-0059</v>
      </c>
      <c r="B224" s="23">
        <v>46279.0</v>
      </c>
      <c r="C224" s="24" t="s">
        <v>530</v>
      </c>
      <c r="D224" s="25" t="str">
        <f t="array" ref="D224">IF(C224="","",IFERROR(INDEX(PRODUCTORES!$B:$B, MATCH(C224, PRODUCTORES!$F:$F, 0)) &amp; " " &amp; INDEX(PRODUCTORES!$C:$C, MATCH(C224, PRODUCTORES!$F:$F, 0)), IFERROR(INDEX(PRODUCTORES!$B:$B, MATCH(C224, PRODUCTORES!$A:$A, 0)) &amp; " " &amp; INDEX(PRODUCTORES!$C:$C, MATCH(C224, PRODUCTORES!$A:$A, 0)), IFERROR(TRIM(MID(C224, SEARCH(" - ", C224) + 3, 100)), "NO ENCONTRADO"))))</f>
        <v>DIEZ DE LOS RIOS GUSTAVO</v>
      </c>
      <c r="E224" s="26" t="str">
        <f t="array" ref="E224">IF(C224="","",IFERROR(INDEX(PRODUCTORES!$D:$D, MATCH(C224, PRODUCTORES!$F:$F, 0)), IFERROR(INDEX(PRODUCTORES!$D:$D, MATCH(IF(ISNUMBER(SEARCH(" - ", C224)), LEFT(C224, SEARCH(" - ", C224) - 1), C224), PRODUCTORES!$A:$A, 0)), "-")))</f>
        <v>Sí</v>
      </c>
      <c r="F224" s="27" t="s">
        <v>50</v>
      </c>
      <c r="G224" s="28">
        <v>1.0</v>
      </c>
      <c r="H224" s="29"/>
    </row>
    <row r="225" ht="15.75" customHeight="1">
      <c r="A225" s="3" t="str">
        <f t="shared" si="1"/>
        <v>ENT-0060</v>
      </c>
      <c r="B225" s="23">
        <v>46279.0</v>
      </c>
      <c r="C225" s="24" t="s">
        <v>600</v>
      </c>
      <c r="D225" s="25" t="str">
        <f t="array" ref="D225">IF(C225="","",IFERROR(INDEX(PRODUCTORES!$B:$B, MATCH(C225, PRODUCTORES!$F:$F, 0)) &amp; " " &amp; INDEX(PRODUCTORES!$C:$C, MATCH(C225, PRODUCTORES!$F:$F, 0)), IFERROR(INDEX(PRODUCTORES!$B:$B, MATCH(C225, PRODUCTORES!$A:$A, 0)) &amp; " " &amp; INDEX(PRODUCTORES!$C:$C, MATCH(C225, PRODUCTORES!$A:$A, 0)), IFERROR(TRIM(MID(C225, SEARCH(" - ", C225) + 3, 100)), "NO ENCONTRADO"))))</f>
        <v>FRIAS FLORES NATALIA CAROLINA</v>
      </c>
      <c r="E225" s="26" t="str">
        <f t="array" ref="E225">IF(C225="","",IFERROR(INDEX(PRODUCTORES!$D:$D, MATCH(C225, PRODUCTORES!$F:$F, 0)), IFERROR(INDEX(PRODUCTORES!$D:$D, MATCH(IF(ISNUMBER(SEARCH(" - ", C225)), LEFT(C225, SEARCH(" - ", C225) - 1), C225), PRODUCTORES!$A:$A, 0)), "-")))</f>
        <v>Sí</v>
      </c>
      <c r="F225" s="27" t="s">
        <v>70</v>
      </c>
      <c r="G225" s="28">
        <v>1.0</v>
      </c>
      <c r="H225" s="29"/>
    </row>
    <row r="226" ht="15.75" customHeight="1">
      <c r="A226" s="3" t="str">
        <f t="shared" si="1"/>
        <v>ENT-0060</v>
      </c>
      <c r="B226" s="23">
        <v>46279.0</v>
      </c>
      <c r="C226" s="24" t="s">
        <v>600</v>
      </c>
      <c r="D226" s="25" t="str">
        <f t="array" ref="D226">IF(C226="","",IFERROR(INDEX(PRODUCTORES!$B:$B, MATCH(C226, PRODUCTORES!$F:$F, 0)) &amp; " " &amp; INDEX(PRODUCTORES!$C:$C, MATCH(C226, PRODUCTORES!$F:$F, 0)), IFERROR(INDEX(PRODUCTORES!$B:$B, MATCH(C226, PRODUCTORES!$A:$A, 0)) &amp; " " &amp; INDEX(PRODUCTORES!$C:$C, MATCH(C226, PRODUCTORES!$A:$A, 0)), IFERROR(TRIM(MID(C226, SEARCH(" - ", C226) + 3, 100)), "NO ENCONTRADO"))))</f>
        <v>FRIAS FLORES NATALIA CAROLINA</v>
      </c>
      <c r="E226" s="26" t="str">
        <f t="array" ref="E226">IF(C226="","",IFERROR(INDEX(PRODUCTORES!$D:$D, MATCH(C226, PRODUCTORES!$F:$F, 0)), IFERROR(INDEX(PRODUCTORES!$D:$D, MATCH(IF(ISNUMBER(SEARCH(" - ", C226)), LEFT(C226, SEARCH(" - ", C226) - 1), C226), PRODUCTORES!$A:$A, 0)), "-")))</f>
        <v>Sí</v>
      </c>
      <c r="F226" s="27" t="s">
        <v>50</v>
      </c>
      <c r="G226" s="28">
        <v>1.0</v>
      </c>
      <c r="H226" s="29"/>
    </row>
    <row r="227" ht="15.75" customHeight="1">
      <c r="A227" s="3" t="str">
        <f t="shared" si="1"/>
        <v>ENT-0060</v>
      </c>
      <c r="B227" s="23">
        <v>46279.0</v>
      </c>
      <c r="C227" s="24" t="s">
        <v>600</v>
      </c>
      <c r="D227" s="25" t="str">
        <f t="array" ref="D227">IF(C227="","",IFERROR(INDEX(PRODUCTORES!$B:$B, MATCH(C227, PRODUCTORES!$F:$F, 0)) &amp; " " &amp; INDEX(PRODUCTORES!$C:$C, MATCH(C227, PRODUCTORES!$F:$F, 0)), IFERROR(INDEX(PRODUCTORES!$B:$B, MATCH(C227, PRODUCTORES!$A:$A, 0)) &amp; " " &amp; INDEX(PRODUCTORES!$C:$C, MATCH(C227, PRODUCTORES!$A:$A, 0)), IFERROR(TRIM(MID(C227, SEARCH(" - ", C227) + 3, 100)), "NO ENCONTRADO"))))</f>
        <v>FRIAS FLORES NATALIA CAROLINA</v>
      </c>
      <c r="E227" s="26" t="str">
        <f t="array" ref="E227">IF(C227="","",IFERROR(INDEX(PRODUCTORES!$D:$D, MATCH(C227, PRODUCTORES!$F:$F, 0)), IFERROR(INDEX(PRODUCTORES!$D:$D, MATCH(IF(ISNUMBER(SEARCH(" - ", C227)), LEFT(C227, SEARCH(" - ", C227) - 1), C227), PRODUCTORES!$A:$A, 0)), "-")))</f>
        <v>Sí</v>
      </c>
      <c r="F227" s="27" t="s">
        <v>46</v>
      </c>
      <c r="G227" s="28">
        <v>1.0</v>
      </c>
      <c r="H227" s="29"/>
    </row>
    <row r="228" ht="15.75" customHeight="1">
      <c r="A228" s="3" t="str">
        <f t="shared" si="1"/>
        <v>ENT-0060</v>
      </c>
      <c r="B228" s="23">
        <v>46279.0</v>
      </c>
      <c r="C228" s="24" t="s">
        <v>600</v>
      </c>
      <c r="D228" s="25" t="str">
        <f t="array" ref="D228">IF(C228="","",IFERROR(INDEX(PRODUCTORES!$B:$B, MATCH(C228, PRODUCTORES!$F:$F, 0)) &amp; " " &amp; INDEX(PRODUCTORES!$C:$C, MATCH(C228, PRODUCTORES!$F:$F, 0)), IFERROR(INDEX(PRODUCTORES!$B:$B, MATCH(C228, PRODUCTORES!$A:$A, 0)) &amp; " " &amp; INDEX(PRODUCTORES!$C:$C, MATCH(C228, PRODUCTORES!$A:$A, 0)), IFERROR(TRIM(MID(C228, SEARCH(" - ", C228) + 3, 100)), "NO ENCONTRADO"))))</f>
        <v>FRIAS FLORES NATALIA CAROLINA</v>
      </c>
      <c r="E228" s="26" t="str">
        <f t="array" ref="E228">IF(C228="","",IFERROR(INDEX(PRODUCTORES!$D:$D, MATCH(C228, PRODUCTORES!$F:$F, 0)), IFERROR(INDEX(PRODUCTORES!$D:$D, MATCH(IF(ISNUMBER(SEARCH(" - ", C228)), LEFT(C228, SEARCH(" - ", C228) - 1), C228), PRODUCTORES!$A:$A, 0)), "-")))</f>
        <v>Sí</v>
      </c>
      <c r="F228" s="27" t="s">
        <v>11</v>
      </c>
      <c r="G228" s="28">
        <v>1.0</v>
      </c>
      <c r="H228" s="29"/>
    </row>
    <row r="229" ht="15.75" customHeight="1">
      <c r="A229" s="3" t="str">
        <f t="shared" si="1"/>
        <v>ENT-0061</v>
      </c>
      <c r="B229" s="23">
        <v>46279.0</v>
      </c>
      <c r="C229" s="24" t="s">
        <v>750</v>
      </c>
      <c r="D229" s="25" t="str">
        <f t="array" ref="D229">IF(C229="","",IFERROR(INDEX(PRODUCTORES!$B:$B, MATCH(C229, PRODUCTORES!$F:$F, 0)) &amp; " " &amp; INDEX(PRODUCTORES!$C:$C, MATCH(C229, PRODUCTORES!$F:$F, 0)), IFERROR(INDEX(PRODUCTORES!$B:$B, MATCH(C229, PRODUCTORES!$A:$A, 0)) &amp; " " &amp; INDEX(PRODUCTORES!$C:$C, MATCH(C229, PRODUCTORES!$A:$A, 0)), IFERROR(TRIM(MID(C229, SEARCH(" - ", C229) + 3, 100)), "NO ENCONTRADO"))))</f>
        <v>GUZMAN MARTA</v>
      </c>
      <c r="E229" s="26" t="str">
        <f t="array" ref="E229">IF(C229="","",IFERROR(INDEX(PRODUCTORES!$D:$D, MATCH(C229, PRODUCTORES!$F:$F, 0)), IFERROR(INDEX(PRODUCTORES!$D:$D, MATCH(IF(ISNUMBER(SEARCH(" - ", C229)), LEFT(C229, SEARCH(" - ", C229) - 1), C229), PRODUCTORES!$A:$A, 0)), "-")))</f>
        <v>Sí</v>
      </c>
      <c r="F229" s="27" t="s">
        <v>70</v>
      </c>
      <c r="G229" s="28">
        <v>2.0</v>
      </c>
      <c r="H229" s="29"/>
    </row>
    <row r="230" ht="15.75" customHeight="1">
      <c r="A230" s="3" t="str">
        <f t="shared" si="1"/>
        <v>ENT-0061</v>
      </c>
      <c r="B230" s="23">
        <v>46279.0</v>
      </c>
      <c r="C230" s="24" t="s">
        <v>750</v>
      </c>
      <c r="D230" s="25" t="str">
        <f t="array" ref="D230">IF(C230="","",IFERROR(INDEX(PRODUCTORES!$B:$B, MATCH(C230, PRODUCTORES!$F:$F, 0)) &amp; " " &amp; INDEX(PRODUCTORES!$C:$C, MATCH(C230, PRODUCTORES!$F:$F, 0)), IFERROR(INDEX(PRODUCTORES!$B:$B, MATCH(C230, PRODUCTORES!$A:$A, 0)) &amp; " " &amp; INDEX(PRODUCTORES!$C:$C, MATCH(C230, PRODUCTORES!$A:$A, 0)), IFERROR(TRIM(MID(C230, SEARCH(" - ", C230) + 3, 100)), "NO ENCONTRADO"))))</f>
        <v>GUZMAN MARTA</v>
      </c>
      <c r="E230" s="26" t="str">
        <f t="array" ref="E230">IF(C230="","",IFERROR(INDEX(PRODUCTORES!$D:$D, MATCH(C230, PRODUCTORES!$F:$F, 0)), IFERROR(INDEX(PRODUCTORES!$D:$D, MATCH(IF(ISNUMBER(SEARCH(" - ", C230)), LEFT(C230, SEARCH(" - ", C230) - 1), C230), PRODUCTORES!$A:$A, 0)), "-")))</f>
        <v>Sí</v>
      </c>
      <c r="F230" s="27" t="s">
        <v>50</v>
      </c>
      <c r="G230" s="28">
        <v>2.0</v>
      </c>
      <c r="H230" s="29"/>
    </row>
    <row r="231" ht="15.75" customHeight="1">
      <c r="A231" s="3" t="str">
        <f t="shared" si="1"/>
        <v>ENT-0062</v>
      </c>
      <c r="B231" s="23">
        <v>46279.0</v>
      </c>
      <c r="C231" s="24" t="s">
        <v>858</v>
      </c>
      <c r="D231" s="25" t="str">
        <f t="array" ref="D231">IF(C231="","",IFERROR(INDEX(PRODUCTORES!$B:$B, MATCH(C231, PRODUCTORES!$F:$F, 0)) &amp; " " &amp; INDEX(PRODUCTORES!$C:$C, MATCH(C231, PRODUCTORES!$F:$F, 0)), IFERROR(INDEX(PRODUCTORES!$B:$B, MATCH(C231, PRODUCTORES!$A:$A, 0)) &amp; " " &amp; INDEX(PRODUCTORES!$C:$C, MATCH(C231, PRODUCTORES!$A:$A, 0)), IFERROR(TRIM(MID(C231, SEARCH(" - ", C231) + 3, 100)), "NO ENCONTRADO"))))</f>
        <v>LEPEZ ANTONIO JUAN ANGEL</v>
      </c>
      <c r="E231" s="26" t="str">
        <f t="array" ref="E231">IF(C231="","",IFERROR(INDEX(PRODUCTORES!$D:$D, MATCH(C231, PRODUCTORES!$F:$F, 0)), IFERROR(INDEX(PRODUCTORES!$D:$D, MATCH(IF(ISNUMBER(SEARCH(" - ", C231)), LEFT(C231, SEARCH(" - ", C231) - 1), C231), PRODUCTORES!$A:$A, 0)), "-")))</f>
        <v>Sí</v>
      </c>
      <c r="F231" s="27" t="s">
        <v>42</v>
      </c>
      <c r="G231" s="28">
        <v>1.0</v>
      </c>
      <c r="H231" s="29"/>
    </row>
    <row r="232" ht="15.75" customHeight="1">
      <c r="A232" s="3" t="str">
        <f t="shared" si="1"/>
        <v>ENT-0063</v>
      </c>
      <c r="B232" s="23">
        <v>46279.0</v>
      </c>
      <c r="C232" s="24" t="s">
        <v>917</v>
      </c>
      <c r="D232" s="25" t="str">
        <f t="array" ref="D232">IF(C232="","",IFERROR(INDEX(PRODUCTORES!$B:$B, MATCH(C232, PRODUCTORES!$F:$F, 0)) &amp; " " &amp; INDEX(PRODUCTORES!$C:$C, MATCH(C232, PRODUCTORES!$F:$F, 0)), IFERROR(INDEX(PRODUCTORES!$B:$B, MATCH(C232, PRODUCTORES!$A:$A, 0)) &amp; " " &amp; INDEX(PRODUCTORES!$C:$C, MATCH(C232, PRODUCTORES!$A:$A, 0)), IFERROR(TRIM(MID(C232, SEARCH(" - ", C232) + 3, 100)), "NO ENCONTRADO"))))</f>
        <v>MANSILLA DELGADO RAUL</v>
      </c>
      <c r="E232" s="26" t="str">
        <f t="array" ref="E232">IF(C232="","",IFERROR(INDEX(PRODUCTORES!$D:$D, MATCH(C232, PRODUCTORES!$F:$F, 0)), IFERROR(INDEX(PRODUCTORES!$D:$D, MATCH(IF(ISNUMBER(SEARCH(" - ", C232)), LEFT(C232, SEARCH(" - ", C232) - 1), C232), PRODUCTORES!$A:$A, 0)), "-")))</f>
        <v>Sí</v>
      </c>
      <c r="F232" s="27" t="s">
        <v>81</v>
      </c>
      <c r="G232" s="28">
        <v>1.0</v>
      </c>
      <c r="H232" s="29"/>
    </row>
    <row r="233" ht="15.75" customHeight="1">
      <c r="A233" s="3" t="str">
        <f t="shared" si="1"/>
        <v>ENT-0063</v>
      </c>
      <c r="B233" s="23">
        <v>46279.0</v>
      </c>
      <c r="C233" s="24" t="s">
        <v>917</v>
      </c>
      <c r="D233" s="25" t="str">
        <f t="array" ref="D233">IF(C233="","",IFERROR(INDEX(PRODUCTORES!$B:$B, MATCH(C233, PRODUCTORES!$F:$F, 0)) &amp; " " &amp; INDEX(PRODUCTORES!$C:$C, MATCH(C233, PRODUCTORES!$F:$F, 0)), IFERROR(INDEX(PRODUCTORES!$B:$B, MATCH(C233, PRODUCTORES!$A:$A, 0)) &amp; " " &amp; INDEX(PRODUCTORES!$C:$C, MATCH(C233, PRODUCTORES!$A:$A, 0)), IFERROR(TRIM(MID(C233, SEARCH(" - ", C233) + 3, 100)), "NO ENCONTRADO"))))</f>
        <v>MANSILLA DELGADO RAUL</v>
      </c>
      <c r="E233" s="26" t="str">
        <f t="array" ref="E233">IF(C233="","",IFERROR(INDEX(PRODUCTORES!$D:$D, MATCH(C233, PRODUCTORES!$F:$F, 0)), IFERROR(INDEX(PRODUCTORES!$D:$D, MATCH(IF(ISNUMBER(SEARCH(" - ", C233)), LEFT(C233, SEARCH(" - ", C233) - 1), C233), PRODUCTORES!$A:$A, 0)), "-")))</f>
        <v>Sí</v>
      </c>
      <c r="F233" s="27" t="s">
        <v>70</v>
      </c>
      <c r="G233" s="28">
        <v>1.0</v>
      </c>
      <c r="H233" s="29"/>
    </row>
    <row r="234" ht="15.75" customHeight="1">
      <c r="A234" s="3" t="str">
        <f t="shared" si="1"/>
        <v>ENT-0063</v>
      </c>
      <c r="B234" s="23">
        <v>46279.0</v>
      </c>
      <c r="C234" s="24" t="s">
        <v>917</v>
      </c>
      <c r="D234" s="25" t="str">
        <f t="array" ref="D234">IF(C234="","",IFERROR(INDEX(PRODUCTORES!$B:$B, MATCH(C234, PRODUCTORES!$F:$F, 0)) &amp; " " &amp; INDEX(PRODUCTORES!$C:$C, MATCH(C234, PRODUCTORES!$F:$F, 0)), IFERROR(INDEX(PRODUCTORES!$B:$B, MATCH(C234, PRODUCTORES!$A:$A, 0)) &amp; " " &amp; INDEX(PRODUCTORES!$C:$C, MATCH(C234, PRODUCTORES!$A:$A, 0)), IFERROR(TRIM(MID(C234, SEARCH(" - ", C234) + 3, 100)), "NO ENCONTRADO"))))</f>
        <v>MANSILLA DELGADO RAUL</v>
      </c>
      <c r="E234" s="26" t="str">
        <f t="array" ref="E234">IF(C234="","",IFERROR(INDEX(PRODUCTORES!$D:$D, MATCH(C234, PRODUCTORES!$F:$F, 0)), IFERROR(INDEX(PRODUCTORES!$D:$D, MATCH(IF(ISNUMBER(SEARCH(" - ", C234)), LEFT(C234, SEARCH(" - ", C234) - 1), C234), PRODUCTORES!$A:$A, 0)), "-")))</f>
        <v>Sí</v>
      </c>
      <c r="F234" s="27" t="s">
        <v>11</v>
      </c>
      <c r="G234" s="28">
        <v>1.0</v>
      </c>
      <c r="H234" s="29"/>
    </row>
    <row r="235" ht="15.75" customHeight="1">
      <c r="A235" s="3" t="str">
        <f t="shared" si="1"/>
        <v>ENT-0063</v>
      </c>
      <c r="B235" s="23">
        <v>46279.0</v>
      </c>
      <c r="C235" s="24" t="s">
        <v>917</v>
      </c>
      <c r="D235" s="25" t="str">
        <f t="array" ref="D235">IF(C235="","",IFERROR(INDEX(PRODUCTORES!$B:$B, MATCH(C235, PRODUCTORES!$F:$F, 0)) &amp; " " &amp; INDEX(PRODUCTORES!$C:$C, MATCH(C235, PRODUCTORES!$F:$F, 0)), IFERROR(INDEX(PRODUCTORES!$B:$B, MATCH(C235, PRODUCTORES!$A:$A, 0)) &amp; " " &amp; INDEX(PRODUCTORES!$C:$C, MATCH(C235, PRODUCTORES!$A:$A, 0)), IFERROR(TRIM(MID(C235, SEARCH(" - ", C235) + 3, 100)), "NO ENCONTRADO"))))</f>
        <v>MANSILLA DELGADO RAUL</v>
      </c>
      <c r="E235" s="26" t="str">
        <f t="array" ref="E235">IF(C235="","",IFERROR(INDEX(PRODUCTORES!$D:$D, MATCH(C235, PRODUCTORES!$F:$F, 0)), IFERROR(INDEX(PRODUCTORES!$D:$D, MATCH(IF(ISNUMBER(SEARCH(" - ", C235)), LEFT(C235, SEARCH(" - ", C235) - 1), C235), PRODUCTORES!$A:$A, 0)), "-")))</f>
        <v>Sí</v>
      </c>
      <c r="F235" s="27" t="s">
        <v>56</v>
      </c>
      <c r="G235" s="28">
        <v>1.0</v>
      </c>
      <c r="H235" s="29"/>
    </row>
    <row r="236" ht="15.75" customHeight="1">
      <c r="A236" s="3" t="str">
        <f t="shared" si="1"/>
        <v>ENT-0063</v>
      </c>
      <c r="B236" s="23">
        <v>46279.0</v>
      </c>
      <c r="C236" s="24" t="s">
        <v>917</v>
      </c>
      <c r="D236" s="25" t="str">
        <f t="array" ref="D236">IF(C236="","",IFERROR(INDEX(PRODUCTORES!$B:$B, MATCH(C236, PRODUCTORES!$F:$F, 0)) &amp; " " &amp; INDEX(PRODUCTORES!$C:$C, MATCH(C236, PRODUCTORES!$F:$F, 0)), IFERROR(INDEX(PRODUCTORES!$B:$B, MATCH(C236, PRODUCTORES!$A:$A, 0)) &amp; " " &amp; INDEX(PRODUCTORES!$C:$C, MATCH(C236, PRODUCTORES!$A:$A, 0)), IFERROR(TRIM(MID(C236, SEARCH(" - ", C236) + 3, 100)), "NO ENCONTRADO"))))</f>
        <v>MANSILLA DELGADO RAUL</v>
      </c>
      <c r="E236" s="26" t="str">
        <f t="array" ref="E236">IF(C236="","",IFERROR(INDEX(PRODUCTORES!$D:$D, MATCH(C236, PRODUCTORES!$F:$F, 0)), IFERROR(INDEX(PRODUCTORES!$D:$D, MATCH(IF(ISNUMBER(SEARCH(" - ", C236)), LEFT(C236, SEARCH(" - ", C236) - 1), C236), PRODUCTORES!$A:$A, 0)), "-")))</f>
        <v>Sí</v>
      </c>
      <c r="F236" s="27" t="s">
        <v>46</v>
      </c>
      <c r="G236" s="28">
        <v>1.0</v>
      </c>
      <c r="H236" s="29"/>
    </row>
    <row r="237" ht="15.75" customHeight="1">
      <c r="A237" s="3" t="str">
        <f t="shared" si="1"/>
        <v>ENT-0064</v>
      </c>
      <c r="B237" s="23">
        <v>46280.0</v>
      </c>
      <c r="C237" s="24" t="s">
        <v>917</v>
      </c>
      <c r="D237" s="25" t="str">
        <f t="array" ref="D237">IF(C237="","",IFERROR(INDEX(PRODUCTORES!$B:$B, MATCH(C237, PRODUCTORES!$F:$F, 0)) &amp; " " &amp; INDEX(PRODUCTORES!$C:$C, MATCH(C237, PRODUCTORES!$F:$F, 0)), IFERROR(INDEX(PRODUCTORES!$B:$B, MATCH(C237, PRODUCTORES!$A:$A, 0)) &amp; " " &amp; INDEX(PRODUCTORES!$C:$C, MATCH(C237, PRODUCTORES!$A:$A, 0)), IFERROR(TRIM(MID(C237, SEARCH(" - ", C237) + 3, 100)), "NO ENCONTRADO"))))</f>
        <v>MANSILLA DELGADO RAUL</v>
      </c>
      <c r="E237" s="26" t="str">
        <f t="array" ref="E237">IF(C237="","",IFERROR(INDEX(PRODUCTORES!$D:$D, MATCH(C237, PRODUCTORES!$F:$F, 0)), IFERROR(INDEX(PRODUCTORES!$D:$D, MATCH(IF(ISNUMBER(SEARCH(" - ", C237)), LEFT(C237, SEARCH(" - ", C237) - 1), C237), PRODUCTORES!$A:$A, 0)), "-")))</f>
        <v>Sí</v>
      </c>
      <c r="F237" s="27" t="s">
        <v>81</v>
      </c>
      <c r="G237" s="28">
        <v>1.0</v>
      </c>
      <c r="H237" s="29"/>
    </row>
    <row r="238" ht="15.75" customHeight="1">
      <c r="A238" s="3" t="str">
        <f t="shared" si="1"/>
        <v>ENT-0064</v>
      </c>
      <c r="B238" s="23">
        <v>46280.0</v>
      </c>
      <c r="C238" s="24" t="s">
        <v>917</v>
      </c>
      <c r="D238" s="25" t="str">
        <f t="array" ref="D238">IF(C238="","",IFERROR(INDEX(PRODUCTORES!$B:$B, MATCH(C238, PRODUCTORES!$F:$F, 0)) &amp; " " &amp; INDEX(PRODUCTORES!$C:$C, MATCH(C238, PRODUCTORES!$F:$F, 0)), IFERROR(INDEX(PRODUCTORES!$B:$B, MATCH(C238, PRODUCTORES!$A:$A, 0)) &amp; " " &amp; INDEX(PRODUCTORES!$C:$C, MATCH(C238, PRODUCTORES!$A:$A, 0)), IFERROR(TRIM(MID(C238, SEARCH(" - ", C238) + 3, 100)), "NO ENCONTRADO"))))</f>
        <v>MANSILLA DELGADO RAUL</v>
      </c>
      <c r="E238" s="26" t="str">
        <f t="array" ref="E238">IF(C238="","",IFERROR(INDEX(PRODUCTORES!$D:$D, MATCH(C238, PRODUCTORES!$F:$F, 0)), IFERROR(INDEX(PRODUCTORES!$D:$D, MATCH(IF(ISNUMBER(SEARCH(" - ", C238)), LEFT(C238, SEARCH(" - ", C238) - 1), C238), PRODUCTORES!$A:$A, 0)), "-")))</f>
        <v>Sí</v>
      </c>
      <c r="F238" s="27" t="s">
        <v>78</v>
      </c>
      <c r="G238" s="28">
        <v>2.0</v>
      </c>
      <c r="H238" s="29"/>
    </row>
    <row r="239" ht="15.75" customHeight="1">
      <c r="A239" s="3" t="str">
        <f t="shared" si="1"/>
        <v>ENT-0064</v>
      </c>
      <c r="B239" s="23">
        <v>46280.0</v>
      </c>
      <c r="C239" s="24" t="s">
        <v>917</v>
      </c>
      <c r="D239" s="25" t="str">
        <f t="array" ref="D239">IF(C239="","",IFERROR(INDEX(PRODUCTORES!$B:$B, MATCH(C239, PRODUCTORES!$F:$F, 0)) &amp; " " &amp; INDEX(PRODUCTORES!$C:$C, MATCH(C239, PRODUCTORES!$F:$F, 0)), IFERROR(INDEX(PRODUCTORES!$B:$B, MATCH(C239, PRODUCTORES!$A:$A, 0)) &amp; " " &amp; INDEX(PRODUCTORES!$C:$C, MATCH(C239, PRODUCTORES!$A:$A, 0)), IFERROR(TRIM(MID(C239, SEARCH(" - ", C239) + 3, 100)), "NO ENCONTRADO"))))</f>
        <v>MANSILLA DELGADO RAUL</v>
      </c>
      <c r="E239" s="26" t="str">
        <f t="array" ref="E239">IF(C239="","",IFERROR(INDEX(PRODUCTORES!$D:$D, MATCH(C239, PRODUCTORES!$F:$F, 0)), IFERROR(INDEX(PRODUCTORES!$D:$D, MATCH(IF(ISNUMBER(SEARCH(" - ", C239)), LEFT(C239, SEARCH(" - ", C239) - 1), C239), PRODUCTORES!$A:$A, 0)), "-")))</f>
        <v>Sí</v>
      </c>
      <c r="F239" s="27" t="s">
        <v>46</v>
      </c>
      <c r="G239" s="28">
        <v>1.0</v>
      </c>
      <c r="H239" s="29"/>
    </row>
    <row r="240" ht="15.75" customHeight="1">
      <c r="A240" s="3" t="str">
        <f t="shared" si="1"/>
        <v>ENT-0065</v>
      </c>
      <c r="B240" s="23">
        <v>46280.0</v>
      </c>
      <c r="C240" s="24" t="s">
        <v>935</v>
      </c>
      <c r="D240" s="25" t="str">
        <f t="array" ref="D240">IF(C240="","",IFERROR(INDEX(PRODUCTORES!$B:$B, MATCH(C240, PRODUCTORES!$F:$F, 0)) &amp; " " &amp; INDEX(PRODUCTORES!$C:$C, MATCH(C240, PRODUCTORES!$F:$F, 0)), IFERROR(INDEX(PRODUCTORES!$B:$B, MATCH(C240, PRODUCTORES!$A:$A, 0)) &amp; " " &amp; INDEX(PRODUCTORES!$C:$C, MATCH(C240, PRODUCTORES!$A:$A, 0)), IFERROR(TRIM(MID(C240, SEARCH(" - ", C240) + 3, 100)), "NO ENCONTRADO"))))</f>
        <v>MARCOS MARTIN ANTONIO</v>
      </c>
      <c r="E240" s="26" t="str">
        <f t="array" ref="E240">IF(C240="","",IFERROR(INDEX(PRODUCTORES!$D:$D, MATCH(C240, PRODUCTORES!$F:$F, 0)), IFERROR(INDEX(PRODUCTORES!$D:$D, MATCH(IF(ISNUMBER(SEARCH(" - ", C240)), LEFT(C240, SEARCH(" - ", C240) - 1), C240), PRODUCTORES!$A:$A, 0)), "-")))</f>
        <v>Sí</v>
      </c>
      <c r="F240" s="27" t="s">
        <v>46</v>
      </c>
      <c r="G240" s="28">
        <v>4.0</v>
      </c>
      <c r="H240" s="29"/>
    </row>
    <row r="241" ht="15.75" customHeight="1">
      <c r="A241" s="3" t="str">
        <f t="shared" si="1"/>
        <v>ENT-0065</v>
      </c>
      <c r="B241" s="23">
        <v>46280.0</v>
      </c>
      <c r="C241" s="24" t="s">
        <v>935</v>
      </c>
      <c r="D241" s="25" t="str">
        <f t="array" ref="D241">IF(C241="","",IFERROR(INDEX(PRODUCTORES!$B:$B, MATCH(C241, PRODUCTORES!$F:$F, 0)) &amp; " " &amp; INDEX(PRODUCTORES!$C:$C, MATCH(C241, PRODUCTORES!$F:$F, 0)), IFERROR(INDEX(PRODUCTORES!$B:$B, MATCH(C241, PRODUCTORES!$A:$A, 0)) &amp; " " &amp; INDEX(PRODUCTORES!$C:$C, MATCH(C241, PRODUCTORES!$A:$A, 0)), IFERROR(TRIM(MID(C241, SEARCH(" - ", C241) + 3, 100)), "NO ENCONTRADO"))))</f>
        <v>MARCOS MARTIN ANTONIO</v>
      </c>
      <c r="E241" s="26" t="str">
        <f t="array" ref="E241">IF(C241="","",IFERROR(INDEX(PRODUCTORES!$D:$D, MATCH(C241, PRODUCTORES!$F:$F, 0)), IFERROR(INDEX(PRODUCTORES!$D:$D, MATCH(IF(ISNUMBER(SEARCH(" - ", C241)), LEFT(C241, SEARCH(" - ", C241) - 1), C241), PRODUCTORES!$A:$A, 0)), "-")))</f>
        <v>Sí</v>
      </c>
      <c r="F241" s="27" t="s">
        <v>81</v>
      </c>
      <c r="G241" s="28">
        <v>10.0</v>
      </c>
      <c r="H241" s="29"/>
    </row>
    <row r="242" ht="15.75" customHeight="1">
      <c r="A242" s="3" t="str">
        <f t="shared" si="1"/>
        <v>ENT-0066</v>
      </c>
      <c r="B242" s="23">
        <v>46279.0</v>
      </c>
      <c r="C242" s="24" t="s">
        <v>1142</v>
      </c>
      <c r="D242" s="25" t="str">
        <f t="array" ref="D242">IF(C242="","",IFERROR(INDEX(PRODUCTORES!$B:$B, MATCH(C242, PRODUCTORES!$F:$F, 0)) &amp; " " &amp; INDEX(PRODUCTORES!$C:$C, MATCH(C242, PRODUCTORES!$F:$F, 0)), IFERROR(INDEX(PRODUCTORES!$B:$B, MATCH(C242, PRODUCTORES!$A:$A, 0)) &amp; " " &amp; INDEX(PRODUCTORES!$C:$C, MATCH(C242, PRODUCTORES!$A:$A, 0)), IFERROR(TRIM(MID(C242, SEARCH(" - ", C242) + 3, 100)), "NO ENCONTRADO"))))</f>
        <v>OYARZO CHODIL CARMEN LUZ</v>
      </c>
      <c r="E242" s="26" t="str">
        <f t="array" ref="E242">IF(C242="","",IFERROR(INDEX(PRODUCTORES!$D:$D, MATCH(C242, PRODUCTORES!$F:$F, 0)), IFERROR(INDEX(PRODUCTORES!$D:$D, MATCH(IF(ISNUMBER(SEARCH(" - ", C242)), LEFT(C242, SEARCH(" - ", C242) - 1), C242), PRODUCTORES!$A:$A, 0)), "-")))</f>
        <v>Sí</v>
      </c>
      <c r="F242" s="27" t="s">
        <v>70</v>
      </c>
      <c r="G242" s="28">
        <v>1.0</v>
      </c>
      <c r="H242" s="29"/>
    </row>
    <row r="243" ht="15.75" customHeight="1">
      <c r="A243" s="3" t="str">
        <f t="shared" si="1"/>
        <v>ENT-0066</v>
      </c>
      <c r="B243" s="23">
        <v>46279.0</v>
      </c>
      <c r="C243" s="24" t="s">
        <v>1142</v>
      </c>
      <c r="D243" s="25" t="str">
        <f t="array" ref="D243">IF(C243="","",IFERROR(INDEX(PRODUCTORES!$B:$B, MATCH(C243, PRODUCTORES!$F:$F, 0)) &amp; " " &amp; INDEX(PRODUCTORES!$C:$C, MATCH(C243, PRODUCTORES!$F:$F, 0)), IFERROR(INDEX(PRODUCTORES!$B:$B, MATCH(C243, PRODUCTORES!$A:$A, 0)) &amp; " " &amp; INDEX(PRODUCTORES!$C:$C, MATCH(C243, PRODUCTORES!$A:$A, 0)), IFERROR(TRIM(MID(C243, SEARCH(" - ", C243) + 3, 100)), "NO ENCONTRADO"))))</f>
        <v>OYARZO CHODIL CARMEN LUZ</v>
      </c>
      <c r="E243" s="26" t="str">
        <f t="array" ref="E243">IF(C243="","",IFERROR(INDEX(PRODUCTORES!$D:$D, MATCH(C243, PRODUCTORES!$F:$F, 0)), IFERROR(INDEX(PRODUCTORES!$D:$D, MATCH(IF(ISNUMBER(SEARCH(" - ", C243)), LEFT(C243, SEARCH(" - ", C243) - 1), C243), PRODUCTORES!$A:$A, 0)), "-")))</f>
        <v>Sí</v>
      </c>
      <c r="F243" s="27" t="s">
        <v>50</v>
      </c>
      <c r="G243" s="28">
        <v>1.0</v>
      </c>
      <c r="H243" s="29"/>
    </row>
    <row r="244" ht="15.75" customHeight="1">
      <c r="A244" s="3" t="str">
        <f t="shared" si="1"/>
        <v>ENT-0067</v>
      </c>
      <c r="B244" s="23">
        <v>46281.0</v>
      </c>
      <c r="C244" s="24" t="s">
        <v>977</v>
      </c>
      <c r="D244" s="30" t="str">
        <f t="array" ref="D244">IF(C244="","",IFERROR(INDEX(PRODUCTORES!$B:$B, MATCH(C244, PRODUCTORES!$F:$F, 0)) &amp; " " &amp; INDEX(PRODUCTORES!$C:$C, MATCH(C244, PRODUCTORES!$F:$F, 0)), IFERROR(INDEX(PRODUCTORES!$B:$B, MATCH(C244, PRODUCTORES!$A:$A, 0)) &amp; " " &amp; INDEX(PRODUCTORES!$C:$C, MATCH(C244, PRODUCTORES!$A:$A, 0)), IFERROR(TRIM(MID(C244, SEARCH(" - ", C244) + 3, 100)), "NO ENCONTRADO"))))</f>
        <v>MEDINA TERESA</v>
      </c>
      <c r="E244" s="31" t="str">
        <f t="array" ref="E244">IF(C244="","",IFERROR(INDEX(PRODUCTORES!$D:$D, MATCH(C244, PRODUCTORES!$F:$F, 0)), IFERROR(INDEX(PRODUCTORES!$D:$D, MATCH(IF(ISNUMBER(SEARCH(" - ", C244)), LEFT(C244, SEARCH(" - ", C244) - 1), C244), PRODUCTORES!$A:$A, 0)), "-")))</f>
        <v>Sí</v>
      </c>
      <c r="F244" s="27" t="s">
        <v>58</v>
      </c>
      <c r="G244" s="27">
        <v>4.0</v>
      </c>
      <c r="H244" s="29"/>
    </row>
    <row r="245" ht="15.75" customHeight="1">
      <c r="A245" s="3" t="str">
        <f t="shared" si="1"/>
        <v>ENT-0067</v>
      </c>
      <c r="B245" s="23">
        <v>46281.0</v>
      </c>
      <c r="C245" s="24" t="s">
        <v>977</v>
      </c>
      <c r="D245" s="30" t="str">
        <f t="array" ref="D245">IF(C245="","",IFERROR(INDEX(PRODUCTORES!$B:$B, MATCH(C245, PRODUCTORES!$F:$F, 0)) &amp; " " &amp; INDEX(PRODUCTORES!$C:$C, MATCH(C245, PRODUCTORES!$F:$F, 0)), IFERROR(INDEX(PRODUCTORES!$B:$B, MATCH(C245, PRODUCTORES!$A:$A, 0)) &amp; " " &amp; INDEX(PRODUCTORES!$C:$C, MATCH(C245, PRODUCTORES!$A:$A, 0)), IFERROR(TRIM(MID(C245, SEARCH(" - ", C245) + 3, 100)), "NO ENCONTRADO"))))</f>
        <v>MEDINA TERESA</v>
      </c>
      <c r="E245" s="31" t="str">
        <f t="array" ref="E245">IF(C245="","",IFERROR(INDEX(PRODUCTORES!$D:$D, MATCH(C245, PRODUCTORES!$F:$F, 0)), IFERROR(INDEX(PRODUCTORES!$D:$D, MATCH(IF(ISNUMBER(SEARCH(" - ", C245)), LEFT(C245, SEARCH(" - ", C245) - 1), C245), PRODUCTORES!$A:$A, 0)), "-")))</f>
        <v>Sí</v>
      </c>
      <c r="F245" s="27" t="s">
        <v>50</v>
      </c>
      <c r="G245" s="27">
        <v>1.0</v>
      </c>
      <c r="H245" s="29"/>
    </row>
    <row r="246" ht="15.75" customHeight="1">
      <c r="A246" s="3" t="str">
        <f t="shared" si="1"/>
        <v>ENT-0067</v>
      </c>
      <c r="B246" s="23">
        <v>46281.0</v>
      </c>
      <c r="C246" s="24" t="s">
        <v>977</v>
      </c>
      <c r="D246" s="30" t="str">
        <f t="array" ref="D246">IF(C246="","",IFERROR(INDEX(PRODUCTORES!$B:$B, MATCH(C246, PRODUCTORES!$F:$F, 0)) &amp; " " &amp; INDEX(PRODUCTORES!$C:$C, MATCH(C246, PRODUCTORES!$F:$F, 0)), IFERROR(INDEX(PRODUCTORES!$B:$B, MATCH(C246, PRODUCTORES!$A:$A, 0)) &amp; " " &amp; INDEX(PRODUCTORES!$C:$C, MATCH(C246, PRODUCTORES!$A:$A, 0)), IFERROR(TRIM(MID(C246, SEARCH(" - ", C246) + 3, 100)), "NO ENCONTRADO"))))</f>
        <v>MEDINA TERESA</v>
      </c>
      <c r="E246" s="31" t="str">
        <f t="array" ref="E246">IF(C246="","",IFERROR(INDEX(PRODUCTORES!$D:$D, MATCH(C246, PRODUCTORES!$F:$F, 0)), IFERROR(INDEX(PRODUCTORES!$D:$D, MATCH(IF(ISNUMBER(SEARCH(" - ", C246)), LEFT(C246, SEARCH(" - ", C246) - 1), C246), PRODUCTORES!$A:$A, 0)), "-")))</f>
        <v>Sí</v>
      </c>
      <c r="F246" s="27" t="s">
        <v>70</v>
      </c>
      <c r="G246" s="27">
        <v>1.0</v>
      </c>
      <c r="H246" s="29"/>
    </row>
    <row r="247" ht="15.75" customHeight="1">
      <c r="A247" s="3" t="str">
        <f t="shared" si="1"/>
        <v>ENT-0067</v>
      </c>
      <c r="B247" s="23">
        <v>46281.0</v>
      </c>
      <c r="C247" s="24" t="s">
        <v>977</v>
      </c>
      <c r="D247" s="30" t="str">
        <f t="array" ref="D247">IF(C247="","",IFERROR(INDEX(PRODUCTORES!$B:$B, MATCH(C247, PRODUCTORES!$F:$F, 0)) &amp; " " &amp; INDEX(PRODUCTORES!$C:$C, MATCH(C247, PRODUCTORES!$F:$F, 0)), IFERROR(INDEX(PRODUCTORES!$B:$B, MATCH(C247, PRODUCTORES!$A:$A, 0)) &amp; " " &amp; INDEX(PRODUCTORES!$C:$C, MATCH(C247, PRODUCTORES!$A:$A, 0)), IFERROR(TRIM(MID(C247, SEARCH(" - ", C247) + 3, 100)), "NO ENCONTRADO"))))</f>
        <v>MEDINA TERESA</v>
      </c>
      <c r="E247" s="31" t="str">
        <f t="array" ref="E247">IF(C247="","",IFERROR(INDEX(PRODUCTORES!$D:$D, MATCH(C247, PRODUCTORES!$F:$F, 0)), IFERROR(INDEX(PRODUCTORES!$D:$D, MATCH(IF(ISNUMBER(SEARCH(" - ", C247)), LEFT(C247, SEARCH(" - ", C247) - 1), C247), PRODUCTORES!$A:$A, 0)), "-")))</f>
        <v>Sí</v>
      </c>
      <c r="F247" s="27" t="s">
        <v>46</v>
      </c>
      <c r="G247" s="27">
        <v>2.0</v>
      </c>
      <c r="H247" s="29"/>
    </row>
    <row r="248" ht="15.75" customHeight="1">
      <c r="A248" s="3" t="str">
        <f t="shared" si="1"/>
        <v>ENT-0067</v>
      </c>
      <c r="B248" s="23">
        <v>46281.0</v>
      </c>
      <c r="C248" s="24" t="s">
        <v>977</v>
      </c>
      <c r="D248" s="30" t="str">
        <f t="array" ref="D248">IF(C248="","",IFERROR(INDEX(PRODUCTORES!$B:$B, MATCH(C248, PRODUCTORES!$F:$F, 0)) &amp; " " &amp; INDEX(PRODUCTORES!$C:$C, MATCH(C248, PRODUCTORES!$F:$F, 0)), IFERROR(INDEX(PRODUCTORES!$B:$B, MATCH(C248, PRODUCTORES!$A:$A, 0)) &amp; " " &amp; INDEX(PRODUCTORES!$C:$C, MATCH(C248, PRODUCTORES!$A:$A, 0)), IFERROR(TRIM(MID(C248, SEARCH(" - ", C248) + 3, 100)), "NO ENCONTRADO"))))</f>
        <v>MEDINA TERESA</v>
      </c>
      <c r="E248" s="31" t="str">
        <f t="array" ref="E248">IF(C248="","",IFERROR(INDEX(PRODUCTORES!$D:$D, MATCH(C248, PRODUCTORES!$F:$F, 0)), IFERROR(INDEX(PRODUCTORES!$D:$D, MATCH(IF(ISNUMBER(SEARCH(" - ", C248)), LEFT(C248, SEARCH(" - ", C248) - 1), C248), PRODUCTORES!$A:$A, 0)), "-")))</f>
        <v>Sí</v>
      </c>
      <c r="F248" s="27" t="s">
        <v>66</v>
      </c>
      <c r="G248" s="27">
        <v>2.0</v>
      </c>
      <c r="H248" s="29"/>
    </row>
    <row r="249" ht="15.75" customHeight="1">
      <c r="A249" s="3" t="str">
        <f t="shared" si="1"/>
        <v>ENT-0068</v>
      </c>
      <c r="B249" s="23">
        <v>46281.0</v>
      </c>
      <c r="C249" s="24" t="s">
        <v>906</v>
      </c>
      <c r="D249" s="30" t="str">
        <f t="array" ref="D249">IF(C249="","",IFERROR(INDEX(PRODUCTORES!$B:$B, MATCH(C249, PRODUCTORES!$F:$F, 0)) &amp; " " &amp; INDEX(PRODUCTORES!$C:$C, MATCH(C249, PRODUCTORES!$F:$F, 0)), IFERROR(INDEX(PRODUCTORES!$B:$B, MATCH(C249, PRODUCTORES!$A:$A, 0)) &amp; " " &amp; INDEX(PRODUCTORES!$C:$C, MATCH(C249, PRODUCTORES!$A:$A, 0)), IFERROR(TRIM(MID(C249, SEARCH(" - ", C249) + 3, 100)), "NO ENCONTRADO"))))</f>
        <v>MALDONADO ANGEL DAVID</v>
      </c>
      <c r="E249" s="31" t="str">
        <f t="array" ref="E249">IF(C249="","",IFERROR(INDEX(PRODUCTORES!$D:$D, MATCH(C249, PRODUCTORES!$F:$F, 0)), IFERROR(INDEX(PRODUCTORES!$D:$D, MATCH(IF(ISNUMBER(SEARCH(" - ", C249)), LEFT(C249, SEARCH(" - ", C249) - 1), C249), PRODUCTORES!$A:$A, 0)), "-")))</f>
        <v>Sí</v>
      </c>
      <c r="F249" s="27" t="s">
        <v>58</v>
      </c>
      <c r="G249" s="27">
        <v>5.0</v>
      </c>
      <c r="H249" s="29"/>
    </row>
    <row r="250" ht="15.75" customHeight="1">
      <c r="A250" s="3" t="str">
        <f t="shared" si="1"/>
        <v>ENT-0068</v>
      </c>
      <c r="B250" s="23">
        <v>46281.0</v>
      </c>
      <c r="C250" s="24" t="s">
        <v>906</v>
      </c>
      <c r="D250" s="30" t="str">
        <f t="array" ref="D250">IF(C250="","",IFERROR(INDEX(PRODUCTORES!$B:$B, MATCH(C250, PRODUCTORES!$F:$F, 0)) &amp; " " &amp; INDEX(PRODUCTORES!$C:$C, MATCH(C250, PRODUCTORES!$F:$F, 0)), IFERROR(INDEX(PRODUCTORES!$B:$B, MATCH(C250, PRODUCTORES!$A:$A, 0)) &amp; " " &amp; INDEX(PRODUCTORES!$C:$C, MATCH(C250, PRODUCTORES!$A:$A, 0)), IFERROR(TRIM(MID(C250, SEARCH(" - ", C250) + 3, 100)), "NO ENCONTRADO"))))</f>
        <v>MALDONADO ANGEL DAVID</v>
      </c>
      <c r="E250" s="31" t="str">
        <f t="array" ref="E250">IF(C250="","",IFERROR(INDEX(PRODUCTORES!$D:$D, MATCH(C250, PRODUCTORES!$F:$F, 0)), IFERROR(INDEX(PRODUCTORES!$D:$D, MATCH(IF(ISNUMBER(SEARCH(" - ", C250)), LEFT(C250, SEARCH(" - ", C250) - 1), C250), PRODUCTORES!$A:$A, 0)), "-")))</f>
        <v>Sí</v>
      </c>
      <c r="F250" s="27" t="s">
        <v>78</v>
      </c>
      <c r="G250" s="27">
        <v>2.0</v>
      </c>
      <c r="H250" s="29"/>
    </row>
    <row r="251" ht="15.75" customHeight="1">
      <c r="A251" s="3" t="str">
        <f t="shared" si="1"/>
        <v>ENT-0068</v>
      </c>
      <c r="B251" s="23">
        <v>46281.0</v>
      </c>
      <c r="C251" s="24" t="s">
        <v>906</v>
      </c>
      <c r="D251" s="30" t="str">
        <f t="array" ref="D251">IF(C251="","",IFERROR(INDEX(PRODUCTORES!$B:$B, MATCH(C251, PRODUCTORES!$F:$F, 0)) &amp; " " &amp; INDEX(PRODUCTORES!$C:$C, MATCH(C251, PRODUCTORES!$F:$F, 0)), IFERROR(INDEX(PRODUCTORES!$B:$B, MATCH(C251, PRODUCTORES!$A:$A, 0)) &amp; " " &amp; INDEX(PRODUCTORES!$C:$C, MATCH(C251, PRODUCTORES!$A:$A, 0)), IFERROR(TRIM(MID(C251, SEARCH(" - ", C251) + 3, 100)), "NO ENCONTRADO"))))</f>
        <v>MALDONADO ANGEL DAVID</v>
      </c>
      <c r="E251" s="31" t="str">
        <f t="array" ref="E251">IF(C251="","",IFERROR(INDEX(PRODUCTORES!$D:$D, MATCH(C251, PRODUCTORES!$F:$F, 0)), IFERROR(INDEX(PRODUCTORES!$D:$D, MATCH(IF(ISNUMBER(SEARCH(" - ", C251)), LEFT(C251, SEARCH(" - ", C251) - 1), C251), PRODUCTORES!$A:$A, 0)), "-")))</f>
        <v>Sí</v>
      </c>
      <c r="F251" s="27" t="s">
        <v>70</v>
      </c>
      <c r="G251" s="27">
        <v>2.0</v>
      </c>
      <c r="H251" s="29"/>
    </row>
    <row r="252" ht="15.75" customHeight="1">
      <c r="A252" s="3" t="str">
        <f t="shared" si="1"/>
        <v>ENT-0068</v>
      </c>
      <c r="B252" s="23">
        <v>46281.0</v>
      </c>
      <c r="C252" s="24" t="s">
        <v>906</v>
      </c>
      <c r="D252" s="30" t="str">
        <f t="array" ref="D252">IF(C252="","",IFERROR(INDEX(PRODUCTORES!$B:$B, MATCH(C252, PRODUCTORES!$F:$F, 0)) &amp; " " &amp; INDEX(PRODUCTORES!$C:$C, MATCH(C252, PRODUCTORES!$F:$F, 0)), IFERROR(INDEX(PRODUCTORES!$B:$B, MATCH(C252, PRODUCTORES!$A:$A, 0)) &amp; " " &amp; INDEX(PRODUCTORES!$C:$C, MATCH(C252, PRODUCTORES!$A:$A, 0)), IFERROR(TRIM(MID(C252, SEARCH(" - ", C252) + 3, 100)), "NO ENCONTRADO"))))</f>
        <v>MALDONADO ANGEL DAVID</v>
      </c>
      <c r="E252" s="31" t="str">
        <f t="array" ref="E252">IF(C252="","",IFERROR(INDEX(PRODUCTORES!$D:$D, MATCH(C252, PRODUCTORES!$F:$F, 0)), IFERROR(INDEX(PRODUCTORES!$D:$D, MATCH(IF(ISNUMBER(SEARCH(" - ", C252)), LEFT(C252, SEARCH(" - ", C252) - 1), C252), PRODUCTORES!$A:$A, 0)), "-")))</f>
        <v>Sí</v>
      </c>
      <c r="F252" s="27" t="s">
        <v>50</v>
      </c>
      <c r="G252" s="27">
        <v>1.0</v>
      </c>
      <c r="H252" s="29"/>
    </row>
    <row r="253" ht="15.75" customHeight="1">
      <c r="A253" s="3" t="str">
        <f t="shared" si="1"/>
        <v>ENT-0068</v>
      </c>
      <c r="B253" s="23">
        <v>46281.0</v>
      </c>
      <c r="C253" s="24" t="s">
        <v>906</v>
      </c>
      <c r="D253" s="30" t="str">
        <f t="array" ref="D253">IF(C253="","",IFERROR(INDEX(PRODUCTORES!$B:$B, MATCH(C253, PRODUCTORES!$F:$F, 0)) &amp; " " &amp; INDEX(PRODUCTORES!$C:$C, MATCH(C253, PRODUCTORES!$F:$F, 0)), IFERROR(INDEX(PRODUCTORES!$B:$B, MATCH(C253, PRODUCTORES!$A:$A, 0)) &amp; " " &amp; INDEX(PRODUCTORES!$C:$C, MATCH(C253, PRODUCTORES!$A:$A, 0)), IFERROR(TRIM(MID(C253, SEARCH(" - ", C253) + 3, 100)), "NO ENCONTRADO"))))</f>
        <v>MALDONADO ANGEL DAVID</v>
      </c>
      <c r="E253" s="31" t="str">
        <f t="array" ref="E253">IF(C253="","",IFERROR(INDEX(PRODUCTORES!$D:$D, MATCH(C253, PRODUCTORES!$F:$F, 0)), IFERROR(INDEX(PRODUCTORES!$D:$D, MATCH(IF(ISNUMBER(SEARCH(" - ", C253)), LEFT(C253, SEARCH(" - ", C253) - 1), C253), PRODUCTORES!$A:$A, 0)), "-")))</f>
        <v>Sí</v>
      </c>
      <c r="F253" s="27" t="s">
        <v>81</v>
      </c>
      <c r="G253" s="27">
        <v>2.0</v>
      </c>
      <c r="H253" s="29"/>
    </row>
    <row r="254" ht="15.75" customHeight="1">
      <c r="A254" s="3" t="str">
        <f t="shared" si="1"/>
        <v>ENT-0068</v>
      </c>
      <c r="B254" s="23">
        <v>46281.0</v>
      </c>
      <c r="C254" s="24" t="s">
        <v>906</v>
      </c>
      <c r="D254" s="30" t="str">
        <f t="array" ref="D254">IF(C254="","",IFERROR(INDEX(PRODUCTORES!$B:$B, MATCH(C254, PRODUCTORES!$F:$F, 0)) &amp; " " &amp; INDEX(PRODUCTORES!$C:$C, MATCH(C254, PRODUCTORES!$F:$F, 0)), IFERROR(INDEX(PRODUCTORES!$B:$B, MATCH(C254, PRODUCTORES!$A:$A, 0)) &amp; " " &amp; INDEX(PRODUCTORES!$C:$C, MATCH(C254, PRODUCTORES!$A:$A, 0)), IFERROR(TRIM(MID(C254, SEARCH(" - ", C254) + 3, 100)), "NO ENCONTRADO"))))</f>
        <v>MALDONADO ANGEL DAVID</v>
      </c>
      <c r="E254" s="31" t="str">
        <f t="array" ref="E254">IF(C254="","",IFERROR(INDEX(PRODUCTORES!$D:$D, MATCH(C254, PRODUCTORES!$F:$F, 0)), IFERROR(INDEX(PRODUCTORES!$D:$D, MATCH(IF(ISNUMBER(SEARCH(" - ", C254)), LEFT(C254, SEARCH(" - ", C254) - 1), C254), PRODUCTORES!$A:$A, 0)), "-")))</f>
        <v>Sí</v>
      </c>
      <c r="F254" s="27" t="s">
        <v>66</v>
      </c>
      <c r="G254" s="27">
        <v>2.0</v>
      </c>
      <c r="H254" s="29"/>
    </row>
    <row r="255" ht="15.75" customHeight="1">
      <c r="A255" s="3" t="str">
        <f t="shared" si="1"/>
        <v>ENT-0069</v>
      </c>
      <c r="B255" s="23">
        <v>46281.0</v>
      </c>
      <c r="C255" s="24" t="s">
        <v>987</v>
      </c>
      <c r="D255" s="30" t="str">
        <f t="array" ref="D255">IF(C255="","",IFERROR(INDEX(PRODUCTORES!$B:$B, MATCH(C255, PRODUCTORES!$F:$F, 0)) &amp; " " &amp; INDEX(PRODUCTORES!$C:$C, MATCH(C255, PRODUCTORES!$F:$F, 0)), IFERROR(INDEX(PRODUCTORES!$B:$B, MATCH(C255, PRODUCTORES!$A:$A, 0)) &amp; " " &amp; INDEX(PRODUCTORES!$C:$C, MATCH(C255, PRODUCTORES!$A:$A, 0)), IFERROR(TRIM(MID(C255, SEARCH(" - ", C255) + 3, 100)), "NO ENCONTRADO"))))</f>
        <v>MENDIOLA JOSE</v>
      </c>
      <c r="E255" s="31" t="str">
        <f t="array" ref="E255">IF(C255="","",IFERROR(INDEX(PRODUCTORES!$D:$D, MATCH(C255, PRODUCTORES!$F:$F, 0)), IFERROR(INDEX(PRODUCTORES!$D:$D, MATCH(IF(ISNUMBER(SEARCH(" - ", C255)), LEFT(C255, SEARCH(" - ", C255) - 1), C255), PRODUCTORES!$A:$A, 0)), "-")))</f>
        <v>Sí</v>
      </c>
      <c r="F255" s="27" t="s">
        <v>50</v>
      </c>
      <c r="G255" s="27">
        <v>3.0</v>
      </c>
      <c r="H255" s="29"/>
    </row>
    <row r="256" ht="15.75" customHeight="1">
      <c r="A256" s="3" t="str">
        <f t="shared" si="1"/>
        <v>ENT-0069</v>
      </c>
      <c r="B256" s="23">
        <v>46281.0</v>
      </c>
      <c r="C256" s="24" t="s">
        <v>987</v>
      </c>
      <c r="D256" s="30" t="str">
        <f t="array" ref="D256">IF(C256="","",IFERROR(INDEX(PRODUCTORES!$B:$B, MATCH(C256, PRODUCTORES!$F:$F, 0)) &amp; " " &amp; INDEX(PRODUCTORES!$C:$C, MATCH(C256, PRODUCTORES!$F:$F, 0)), IFERROR(INDEX(PRODUCTORES!$B:$B, MATCH(C256, PRODUCTORES!$A:$A, 0)) &amp; " " &amp; INDEX(PRODUCTORES!$C:$C, MATCH(C256, PRODUCTORES!$A:$A, 0)), IFERROR(TRIM(MID(C256, SEARCH(" - ", C256) + 3, 100)), "NO ENCONTRADO"))))</f>
        <v>MENDIOLA JOSE</v>
      </c>
      <c r="E256" s="31" t="str">
        <f t="array" ref="E256">IF(C256="","",IFERROR(INDEX(PRODUCTORES!$D:$D, MATCH(C256, PRODUCTORES!$F:$F, 0)), IFERROR(INDEX(PRODUCTORES!$D:$D, MATCH(IF(ISNUMBER(SEARCH(" - ", C256)), LEFT(C256, SEARCH(" - ", C256) - 1), C256), PRODUCTORES!$A:$A, 0)), "-")))</f>
        <v>Sí</v>
      </c>
      <c r="F256" s="27" t="s">
        <v>70</v>
      </c>
      <c r="G256" s="27">
        <v>2.0</v>
      </c>
      <c r="H256" s="29"/>
    </row>
    <row r="257" ht="15.75" customHeight="1">
      <c r="A257" s="3" t="str">
        <f t="shared" si="1"/>
        <v>ENT-0069</v>
      </c>
      <c r="B257" s="23">
        <v>46281.0</v>
      </c>
      <c r="C257" s="24" t="s">
        <v>987</v>
      </c>
      <c r="D257" s="30" t="str">
        <f t="array" ref="D257">IF(C257="","",IFERROR(INDEX(PRODUCTORES!$B:$B, MATCH(C257, PRODUCTORES!$F:$F, 0)) &amp; " " &amp; INDEX(PRODUCTORES!$C:$C, MATCH(C257, PRODUCTORES!$F:$F, 0)), IFERROR(INDEX(PRODUCTORES!$B:$B, MATCH(C257, PRODUCTORES!$A:$A, 0)) &amp; " " &amp; INDEX(PRODUCTORES!$C:$C, MATCH(C257, PRODUCTORES!$A:$A, 0)), IFERROR(TRIM(MID(C257, SEARCH(" - ", C257) + 3, 100)), "NO ENCONTRADO"))))</f>
        <v>MENDIOLA JOSE</v>
      </c>
      <c r="E257" s="31" t="str">
        <f t="array" ref="E257">IF(C257="","",IFERROR(INDEX(PRODUCTORES!$D:$D, MATCH(C257, PRODUCTORES!$F:$F, 0)), IFERROR(INDEX(PRODUCTORES!$D:$D, MATCH(IF(ISNUMBER(SEARCH(" - ", C257)), LEFT(C257, SEARCH(" - ", C257) - 1), C257), PRODUCTORES!$A:$A, 0)), "-")))</f>
        <v>Sí</v>
      </c>
      <c r="F257" s="27" t="s">
        <v>11</v>
      </c>
      <c r="G257" s="27">
        <v>12.0</v>
      </c>
      <c r="H257" s="29"/>
    </row>
    <row r="258" ht="15.75" customHeight="1">
      <c r="A258" s="3" t="str">
        <f t="shared" si="1"/>
        <v>ENT-0069</v>
      </c>
      <c r="B258" s="23">
        <v>46281.0</v>
      </c>
      <c r="C258" s="24" t="s">
        <v>987</v>
      </c>
      <c r="D258" s="30" t="str">
        <f t="array" ref="D258">IF(C258="","",IFERROR(INDEX(PRODUCTORES!$B:$B, MATCH(C258, PRODUCTORES!$F:$F, 0)) &amp; " " &amp; INDEX(PRODUCTORES!$C:$C, MATCH(C258, PRODUCTORES!$F:$F, 0)), IFERROR(INDEX(PRODUCTORES!$B:$B, MATCH(C258, PRODUCTORES!$A:$A, 0)) &amp; " " &amp; INDEX(PRODUCTORES!$C:$C, MATCH(C258, PRODUCTORES!$A:$A, 0)), IFERROR(TRIM(MID(C258, SEARCH(" - ", C258) + 3, 100)), "NO ENCONTRADO"))))</f>
        <v>MENDIOLA JOSE</v>
      </c>
      <c r="E258" s="31" t="str">
        <f t="array" ref="E258">IF(C258="","",IFERROR(INDEX(PRODUCTORES!$D:$D, MATCH(C258, PRODUCTORES!$F:$F, 0)), IFERROR(INDEX(PRODUCTORES!$D:$D, MATCH(IF(ISNUMBER(SEARCH(" - ", C258)), LEFT(C258, SEARCH(" - ", C258) - 1), C258), PRODUCTORES!$A:$A, 0)), "-")))</f>
        <v>Sí</v>
      </c>
      <c r="F258" s="27" t="s">
        <v>58</v>
      </c>
      <c r="G258" s="27">
        <v>3.0</v>
      </c>
      <c r="H258" s="29"/>
    </row>
    <row r="259" ht="15.75" customHeight="1">
      <c r="A259" s="3" t="str">
        <f t="shared" si="1"/>
        <v>ENT-0070</v>
      </c>
      <c r="B259" s="23">
        <v>46282.0</v>
      </c>
      <c r="C259" s="24" t="s">
        <v>987</v>
      </c>
      <c r="D259" s="30" t="str">
        <f t="array" ref="D259">IF(C259="","",IFERROR(INDEX(PRODUCTORES!$B:$B, MATCH(C259, PRODUCTORES!$F:$F, 0)) &amp; " " &amp; INDEX(PRODUCTORES!$C:$C, MATCH(C259, PRODUCTORES!$F:$F, 0)), IFERROR(INDEX(PRODUCTORES!$B:$B, MATCH(C259, PRODUCTORES!$A:$A, 0)) &amp; " " &amp; INDEX(PRODUCTORES!$C:$C, MATCH(C259, PRODUCTORES!$A:$A, 0)), IFERROR(TRIM(MID(C259, SEARCH(" - ", C259) + 3, 100)), "NO ENCONTRADO"))))</f>
        <v>MENDIOLA JOSE</v>
      </c>
      <c r="E259" s="31" t="str">
        <f t="array" ref="E259">IF(C259="","",IFERROR(INDEX(PRODUCTORES!$D:$D, MATCH(C259, PRODUCTORES!$F:$F, 0)), IFERROR(INDEX(PRODUCTORES!$D:$D, MATCH(IF(ISNUMBER(SEARCH(" - ", C259)), LEFT(C259, SEARCH(" - ", C259) - 1), C259), PRODUCTORES!$A:$A, 0)), "-")))</f>
        <v>Sí</v>
      </c>
      <c r="F259" s="27" t="s">
        <v>58</v>
      </c>
      <c r="G259" s="27">
        <v>34.0</v>
      </c>
      <c r="H259" s="29"/>
    </row>
    <row r="260" ht="15.75" customHeight="1">
      <c r="A260" s="3" t="str">
        <f t="shared" si="1"/>
        <v>ENT-0070</v>
      </c>
      <c r="B260" s="23">
        <v>46282.0</v>
      </c>
      <c r="C260" s="24" t="s">
        <v>987</v>
      </c>
      <c r="D260" s="30" t="str">
        <f t="array" ref="D260">IF(C260="","",IFERROR(INDEX(PRODUCTORES!$B:$B, MATCH(C260, PRODUCTORES!$F:$F, 0)) &amp; " " &amp; INDEX(PRODUCTORES!$C:$C, MATCH(C260, PRODUCTORES!$F:$F, 0)), IFERROR(INDEX(PRODUCTORES!$B:$B, MATCH(C260, PRODUCTORES!$A:$A, 0)) &amp; " " &amp; INDEX(PRODUCTORES!$C:$C, MATCH(C260, PRODUCTORES!$A:$A, 0)), IFERROR(TRIM(MID(C260, SEARCH(" - ", C260) + 3, 100)), "NO ENCONTRADO"))))</f>
        <v>MENDIOLA JOSE</v>
      </c>
      <c r="E260" s="31" t="str">
        <f t="array" ref="E260">IF(C260="","",IFERROR(INDEX(PRODUCTORES!$D:$D, MATCH(C260, PRODUCTORES!$F:$F, 0)), IFERROR(INDEX(PRODUCTORES!$D:$D, MATCH(IF(ISNUMBER(SEARCH(" - ", C260)), LEFT(C260, SEARCH(" - ", C260) - 1), C260), PRODUCTORES!$A:$A, 0)), "-")))</f>
        <v>Sí</v>
      </c>
      <c r="F260" s="27" t="s">
        <v>78</v>
      </c>
      <c r="G260" s="27">
        <v>4.0</v>
      </c>
      <c r="H260" s="29"/>
    </row>
    <row r="261" ht="15.75" customHeight="1">
      <c r="A261" s="3" t="str">
        <f t="shared" si="1"/>
        <v>ENT-0071</v>
      </c>
      <c r="B261" s="23">
        <v>46282.0</v>
      </c>
      <c r="C261" s="24" t="s">
        <v>1385</v>
      </c>
      <c r="D261" s="30" t="str">
        <f t="array" ref="D261">IF(C261="","",IFERROR(INDEX(PRODUCTORES!$B:$B, MATCH(C261, PRODUCTORES!$F:$F, 0)) &amp; " " &amp; INDEX(PRODUCTORES!$C:$C, MATCH(C261, PRODUCTORES!$F:$F, 0)), IFERROR(INDEX(PRODUCTORES!$B:$B, MATCH(C261, PRODUCTORES!$A:$A, 0)) &amp; " " &amp; INDEX(PRODUCTORES!$C:$C, MATCH(C261, PRODUCTORES!$A:$A, 0)), IFERROR(TRIM(MID(C261, SEARCH(" - ", C261) + 3, 100)), "NO ENCONTRADO"))))</f>
        <v>VALDIVIA DIEGO</v>
      </c>
      <c r="E261" s="31" t="str">
        <f t="array" ref="E261">IF(C261="","",IFERROR(INDEX(PRODUCTORES!$D:$D, MATCH(C261, PRODUCTORES!$F:$F, 0)), IFERROR(INDEX(PRODUCTORES!$D:$D, MATCH(IF(ISNUMBER(SEARCH(" - ", C261)), LEFT(C261, SEARCH(" - ", C261) - 1), C261), PRODUCTORES!$A:$A, 0)), "-")))</f>
        <v>Sí</v>
      </c>
      <c r="F261" s="27" t="s">
        <v>81</v>
      </c>
      <c r="G261" s="27">
        <v>2.0</v>
      </c>
      <c r="H261" s="29"/>
    </row>
    <row r="262" ht="15.75" customHeight="1">
      <c r="A262" s="3" t="str">
        <f t="shared" si="1"/>
        <v>ENT-0071</v>
      </c>
      <c r="B262" s="23">
        <v>46282.0</v>
      </c>
      <c r="C262" s="24" t="s">
        <v>1385</v>
      </c>
      <c r="D262" s="30" t="str">
        <f t="array" ref="D262">IF(C262="","",IFERROR(INDEX(PRODUCTORES!$B:$B, MATCH(C262, PRODUCTORES!$F:$F, 0)) &amp; " " &amp; INDEX(PRODUCTORES!$C:$C, MATCH(C262, PRODUCTORES!$F:$F, 0)), IFERROR(INDEX(PRODUCTORES!$B:$B, MATCH(C262, PRODUCTORES!$A:$A, 0)) &amp; " " &amp; INDEX(PRODUCTORES!$C:$C, MATCH(C262, PRODUCTORES!$A:$A, 0)), IFERROR(TRIM(MID(C262, SEARCH(" - ", C262) + 3, 100)), "NO ENCONTRADO"))))</f>
        <v>VALDIVIA DIEGO</v>
      </c>
      <c r="E262" s="31" t="str">
        <f t="array" ref="E262">IF(C262="","",IFERROR(INDEX(PRODUCTORES!$D:$D, MATCH(C262, PRODUCTORES!$F:$F, 0)), IFERROR(INDEX(PRODUCTORES!$D:$D, MATCH(IF(ISNUMBER(SEARCH(" - ", C262)), LEFT(C262, SEARCH(" - ", C262) - 1), C262), PRODUCTORES!$A:$A, 0)), "-")))</f>
        <v>Sí</v>
      </c>
      <c r="F262" s="27" t="s">
        <v>70</v>
      </c>
      <c r="G262" s="27">
        <v>2.0</v>
      </c>
      <c r="H262" s="29"/>
    </row>
    <row r="263" ht="15.75" customHeight="1">
      <c r="A263" s="3" t="str">
        <f t="shared" si="1"/>
        <v>ENT-0071</v>
      </c>
      <c r="B263" s="23">
        <v>46282.0</v>
      </c>
      <c r="C263" s="24" t="s">
        <v>1385</v>
      </c>
      <c r="D263" s="30" t="str">
        <f t="array" ref="D263">IF(C263="","",IFERROR(INDEX(PRODUCTORES!$B:$B, MATCH(C263, PRODUCTORES!$F:$F, 0)) &amp; " " &amp; INDEX(PRODUCTORES!$C:$C, MATCH(C263, PRODUCTORES!$F:$F, 0)), IFERROR(INDEX(PRODUCTORES!$B:$B, MATCH(C263, PRODUCTORES!$A:$A, 0)) &amp; " " &amp; INDEX(PRODUCTORES!$C:$C, MATCH(C263, PRODUCTORES!$A:$A, 0)), IFERROR(TRIM(MID(C263, SEARCH(" - ", C263) + 3, 100)), "NO ENCONTRADO"))))</f>
        <v>VALDIVIA DIEGO</v>
      </c>
      <c r="E263" s="31" t="str">
        <f t="array" ref="E263">IF(C263="","",IFERROR(INDEX(PRODUCTORES!$D:$D, MATCH(C263, PRODUCTORES!$F:$F, 0)), IFERROR(INDEX(PRODUCTORES!$D:$D, MATCH(IF(ISNUMBER(SEARCH(" - ", C263)), LEFT(C263, SEARCH(" - ", C263) - 1), C263), PRODUCTORES!$A:$A, 0)), "-")))</f>
        <v>Sí</v>
      </c>
      <c r="F263" s="27" t="s">
        <v>78</v>
      </c>
      <c r="G263" s="27">
        <v>2.0</v>
      </c>
      <c r="H263" s="29"/>
    </row>
    <row r="264" ht="15.75" customHeight="1">
      <c r="A264" s="3" t="str">
        <f t="shared" si="1"/>
        <v>ENT-0071</v>
      </c>
      <c r="B264" s="32">
        <f>IF(AND(C264="", D264=""), "", IF(AND(C264=C263, D264=D263, C264&lt;&gt;""), B263, "ENT-" &amp; TEXT(IFERROR(VALUE(RIGHT(B263, 4)), 0) + 1, "0000")))</f>
        <v>46282</v>
      </c>
      <c r="C264" s="24" t="s">
        <v>1385</v>
      </c>
      <c r="D264" s="30" t="str">
        <f t="array" ref="D264">IF(C264="","",IFERROR(INDEX(PRODUCTORES!$B:$B, MATCH(C264, PRODUCTORES!$F:$F, 0)) &amp; " " &amp; INDEX(PRODUCTORES!$C:$C, MATCH(C264, PRODUCTORES!$F:$F, 0)), IFERROR(INDEX(PRODUCTORES!$B:$B, MATCH(C264, PRODUCTORES!$A:$A, 0)) &amp; " " &amp; INDEX(PRODUCTORES!$C:$C, MATCH(C264, PRODUCTORES!$A:$A, 0)), IFERROR(TRIM(MID(C264, SEARCH(" - ", C264) + 3, 100)), "NO ENCONTRADO"))))</f>
        <v>VALDIVIA DIEGO</v>
      </c>
      <c r="E264" s="31" t="str">
        <f t="array" ref="E264">IF(C264="","",IFERROR(INDEX(PRODUCTORES!$D:$D, MATCH(C264, PRODUCTORES!$F:$F, 0)), IFERROR(INDEX(PRODUCTORES!$D:$D, MATCH(IF(ISNUMBER(SEARCH(" - ", C264)), LEFT(C264, SEARCH(" - ", C264) - 1), C264), PRODUCTORES!$A:$A, 0)), "-")))</f>
        <v>Sí</v>
      </c>
      <c r="F264" s="27" t="s">
        <v>58</v>
      </c>
      <c r="G264" s="27">
        <v>2.0</v>
      </c>
      <c r="H264" s="29"/>
    </row>
    <row r="265" ht="15.75" customHeight="1">
      <c r="A265" s="3" t="str">
        <f t="shared" si="1"/>
        <v>ENT-0072</v>
      </c>
      <c r="B265" s="23">
        <v>46282.0</v>
      </c>
      <c r="C265" s="24" t="s">
        <v>420</v>
      </c>
      <c r="D265" s="30" t="str">
        <f t="array" ref="D265">IF(C265="","",IFERROR(INDEX(PRODUCTORES!$B:$B, MATCH(C265, PRODUCTORES!$F:$F, 0)) &amp; " " &amp; INDEX(PRODUCTORES!$C:$C, MATCH(C265, PRODUCTORES!$F:$F, 0)), IFERROR(INDEX(PRODUCTORES!$B:$B, MATCH(C265, PRODUCTORES!$A:$A, 0)) &amp; " " &amp; INDEX(PRODUCTORES!$C:$C, MATCH(C265, PRODUCTORES!$A:$A, 0)), IFERROR(TRIM(MID(C265, SEARCH(" - ", C265) + 3, 100)), "NO ENCONTRADO"))))</f>
        <v>RODRIGUEZ CARLOS ANTONIO</v>
      </c>
      <c r="E265" s="31" t="str">
        <f t="array" ref="E265">IF(C265="","",IFERROR(INDEX(PRODUCTORES!$D:$D, MATCH(C265, PRODUCTORES!$F:$F, 0)), IFERROR(INDEX(PRODUCTORES!$D:$D, MATCH(IF(ISNUMBER(SEARCH(" - ", C265)), LEFT(C265, SEARCH(" - ", C265) - 1), C265), PRODUCTORES!$A:$A, 0)), "-")))</f>
        <v>Sí</v>
      </c>
      <c r="F265" s="27" t="s">
        <v>58</v>
      </c>
      <c r="G265" s="27">
        <v>6.0</v>
      </c>
      <c r="H265" s="29"/>
    </row>
    <row r="266" ht="15.75" customHeight="1">
      <c r="A266" s="3" t="str">
        <f t="shared" si="1"/>
        <v>ENT-0072</v>
      </c>
      <c r="B266" s="23">
        <v>46282.0</v>
      </c>
      <c r="C266" s="24" t="s">
        <v>420</v>
      </c>
      <c r="D266" s="30" t="str">
        <f t="array" ref="D266">IF(C266="","",IFERROR(INDEX(PRODUCTORES!$B:$B, MATCH(C266, PRODUCTORES!$F:$F, 0)) &amp; " " &amp; INDEX(PRODUCTORES!$C:$C, MATCH(C266, PRODUCTORES!$F:$F, 0)), IFERROR(INDEX(PRODUCTORES!$B:$B, MATCH(C266, PRODUCTORES!$A:$A, 0)) &amp; " " &amp; INDEX(PRODUCTORES!$C:$C, MATCH(C266, PRODUCTORES!$A:$A, 0)), IFERROR(TRIM(MID(C266, SEARCH(" - ", C266) + 3, 100)), "NO ENCONTRADO"))))</f>
        <v>RODRIGUEZ CARLOS ANTONIO</v>
      </c>
      <c r="E266" s="31" t="str">
        <f t="array" ref="E266">IF(C266="","",IFERROR(INDEX(PRODUCTORES!$D:$D, MATCH(C266, PRODUCTORES!$F:$F, 0)), IFERROR(INDEX(PRODUCTORES!$D:$D, MATCH(IF(ISNUMBER(SEARCH(" - ", C266)), LEFT(C266, SEARCH(" - ", C266) - 1), C266), PRODUCTORES!$A:$A, 0)), "-")))</f>
        <v>Sí</v>
      </c>
      <c r="F266" s="27" t="s">
        <v>81</v>
      </c>
      <c r="G266" s="27">
        <v>2.0</v>
      </c>
      <c r="H266" s="29"/>
    </row>
    <row r="267" ht="15.75" customHeight="1">
      <c r="A267" s="3" t="str">
        <f t="shared" si="1"/>
        <v>ENT-0072</v>
      </c>
      <c r="B267" s="23">
        <v>46282.0</v>
      </c>
      <c r="C267" s="24" t="s">
        <v>420</v>
      </c>
      <c r="D267" s="30" t="str">
        <f t="array" ref="D267">IF(C267="","",IFERROR(INDEX(PRODUCTORES!$B:$B, MATCH(C267, PRODUCTORES!$F:$F, 0)) &amp; " " &amp; INDEX(PRODUCTORES!$C:$C, MATCH(C267, PRODUCTORES!$F:$F, 0)), IFERROR(INDEX(PRODUCTORES!$B:$B, MATCH(C267, PRODUCTORES!$A:$A, 0)) &amp; " " &amp; INDEX(PRODUCTORES!$C:$C, MATCH(C267, PRODUCTORES!$A:$A, 0)), IFERROR(TRIM(MID(C267, SEARCH(" - ", C267) + 3, 100)), "NO ENCONTRADO"))))</f>
        <v>RODRIGUEZ CARLOS ANTONIO</v>
      </c>
      <c r="E267" s="31" t="str">
        <f t="array" ref="E267">IF(C267="","",IFERROR(INDEX(PRODUCTORES!$D:$D, MATCH(C267, PRODUCTORES!$F:$F, 0)), IFERROR(INDEX(PRODUCTORES!$D:$D, MATCH(IF(ISNUMBER(SEARCH(" - ", C267)), LEFT(C267, SEARCH(" - ", C267) - 1), C267), PRODUCTORES!$A:$A, 0)), "-")))</f>
        <v>Sí</v>
      </c>
      <c r="F267" s="27" t="s">
        <v>70</v>
      </c>
      <c r="G267" s="27">
        <v>1.0</v>
      </c>
      <c r="H267" s="29"/>
    </row>
    <row r="268" ht="15.75" customHeight="1">
      <c r="A268" s="3" t="str">
        <f t="shared" si="1"/>
        <v>ENT-0072</v>
      </c>
      <c r="B268" s="23">
        <v>46282.0</v>
      </c>
      <c r="C268" s="24" t="s">
        <v>420</v>
      </c>
      <c r="D268" s="30" t="str">
        <f t="array" ref="D268">IF(C268="","",IFERROR(INDEX(PRODUCTORES!$B:$B, MATCH(C268, PRODUCTORES!$F:$F, 0)) &amp; " " &amp; INDEX(PRODUCTORES!$C:$C, MATCH(C268, PRODUCTORES!$F:$F, 0)), IFERROR(INDEX(PRODUCTORES!$B:$B, MATCH(C268, PRODUCTORES!$A:$A, 0)) &amp; " " &amp; INDEX(PRODUCTORES!$C:$C, MATCH(C268, PRODUCTORES!$A:$A, 0)), IFERROR(TRIM(MID(C268, SEARCH(" - ", C268) + 3, 100)), "NO ENCONTRADO"))))</f>
        <v>RODRIGUEZ CARLOS ANTONIO</v>
      </c>
      <c r="E268" s="31" t="str">
        <f t="array" ref="E268">IF(C268="","",IFERROR(INDEX(PRODUCTORES!$D:$D, MATCH(C268, PRODUCTORES!$F:$F, 0)), IFERROR(INDEX(PRODUCTORES!$D:$D, MATCH(IF(ISNUMBER(SEARCH(" - ", C268)), LEFT(C268, SEARCH(" - ", C268) - 1), C268), PRODUCTORES!$A:$A, 0)), "-")))</f>
        <v>Sí</v>
      </c>
      <c r="F268" s="27" t="s">
        <v>54</v>
      </c>
      <c r="G268" s="27">
        <v>1.0</v>
      </c>
      <c r="H268" s="29"/>
    </row>
    <row r="269" ht="15.75" customHeight="1">
      <c r="A269" s="3" t="str">
        <f t="shared" si="1"/>
        <v>ENT-0073</v>
      </c>
      <c r="B269" s="23">
        <v>46282.0</v>
      </c>
      <c r="C269" s="24" t="s">
        <v>923</v>
      </c>
      <c r="D269" s="30" t="str">
        <f t="array" ref="D269">IF(C269="","",IFERROR(INDEX(PRODUCTORES!$B:$B, MATCH(C269, PRODUCTORES!$F:$F, 0)) &amp; " " &amp; INDEX(PRODUCTORES!$C:$C, MATCH(C269, PRODUCTORES!$F:$F, 0)), IFERROR(INDEX(PRODUCTORES!$B:$B, MATCH(C269, PRODUCTORES!$A:$A, 0)) &amp; " " &amp; INDEX(PRODUCTORES!$C:$C, MATCH(C269, PRODUCTORES!$A:$A, 0)), IFERROR(TRIM(MID(C269, SEARCH(" - ", C269) + 3, 100)), "NO ENCONTRADO"))))</f>
        <v>MANSILLA IRIS</v>
      </c>
      <c r="E269" s="31" t="str">
        <f t="array" ref="E269">IF(C269="","",IFERROR(INDEX(PRODUCTORES!$D:$D, MATCH(C269, PRODUCTORES!$F:$F, 0)), IFERROR(INDEX(PRODUCTORES!$D:$D, MATCH(IF(ISNUMBER(SEARCH(" - ", C269)), LEFT(C269, SEARCH(" - ", C269) - 1), C269), PRODUCTORES!$A:$A, 0)), "-")))</f>
        <v>Sí</v>
      </c>
      <c r="F269" s="27" t="s">
        <v>58</v>
      </c>
      <c r="G269" s="27">
        <v>6.0</v>
      </c>
      <c r="H269" s="29"/>
    </row>
    <row r="270" ht="15.75" customHeight="1">
      <c r="A270" s="3" t="str">
        <f t="shared" si="1"/>
        <v>ENT-0073</v>
      </c>
      <c r="B270" s="32">
        <f>IF(AND(C270="", D270=""), "", IF(AND(C270=C269, D270=D269, C270&lt;&gt;""), B269, "ENT-" &amp; TEXT(IFERROR(VALUE(RIGHT(B269, 4)), 0) + 1, "0000")))</f>
        <v>46282</v>
      </c>
      <c r="C270" s="24" t="s">
        <v>923</v>
      </c>
      <c r="D270" s="30" t="str">
        <f t="array" ref="D270">IF(C270="","",IFERROR(INDEX(PRODUCTORES!$B:$B, MATCH(C270, PRODUCTORES!$F:$F, 0)) &amp; " " &amp; INDEX(PRODUCTORES!$C:$C, MATCH(C270, PRODUCTORES!$F:$F, 0)), IFERROR(INDEX(PRODUCTORES!$B:$B, MATCH(C270, PRODUCTORES!$A:$A, 0)) &amp; " " &amp; INDEX(PRODUCTORES!$C:$C, MATCH(C270, PRODUCTORES!$A:$A, 0)), IFERROR(TRIM(MID(C270, SEARCH(" - ", C270) + 3, 100)), "NO ENCONTRADO"))))</f>
        <v>MANSILLA IRIS</v>
      </c>
      <c r="E270" s="31" t="str">
        <f t="array" ref="E270">IF(C270="","",IFERROR(INDEX(PRODUCTORES!$D:$D, MATCH(C270, PRODUCTORES!$F:$F, 0)), IFERROR(INDEX(PRODUCTORES!$D:$D, MATCH(IF(ISNUMBER(SEARCH(" - ", C270)), LEFT(C270, SEARCH(" - ", C270) - 1), C270), PRODUCTORES!$A:$A, 0)), "-")))</f>
        <v>Sí</v>
      </c>
      <c r="F270" s="27" t="s">
        <v>81</v>
      </c>
      <c r="G270" s="27">
        <v>4.0</v>
      </c>
      <c r="H270" s="29"/>
    </row>
    <row r="271" ht="15.75" customHeight="1">
      <c r="A271" s="3" t="str">
        <f t="shared" si="1"/>
        <v>ENT-0074</v>
      </c>
      <c r="B271" s="23">
        <v>46282.0</v>
      </c>
      <c r="C271" s="24" t="s">
        <v>1443</v>
      </c>
      <c r="D271" s="30" t="str">
        <f t="array" ref="D271">IF(C271="","",IFERROR(INDEX(PRODUCTORES!$B:$B, MATCH(C271, PRODUCTORES!$F:$F, 0)) &amp; " " &amp; INDEX(PRODUCTORES!$C:$C, MATCH(C271, PRODUCTORES!$F:$F, 0)), IFERROR(INDEX(PRODUCTORES!$B:$B, MATCH(C271, PRODUCTORES!$A:$A, 0)) &amp; " " &amp; INDEX(PRODUCTORES!$C:$C, MATCH(C271, PRODUCTORES!$A:$A, 0)), IFERROR(TRIM(MID(C271, SEARCH(" - ", C271) + 3, 100)), "NO ENCONTRADO"))))</f>
        <v>NO ENCONTRADO</v>
      </c>
      <c r="E271" s="31" t="str">
        <f t="array" ref="E271">IF(C271="","",IFERROR(INDEX(PRODUCTORES!$D:$D, MATCH(C271, PRODUCTORES!$F:$F, 0)), IFERROR(INDEX(PRODUCTORES!$D:$D, MATCH(IF(ISNUMBER(SEARCH(" - ", C271)), LEFT(C271, SEARCH(" - ", C271) - 1), C271), PRODUCTORES!$A:$A, 0)), "-")))</f>
        <v>-</v>
      </c>
      <c r="F271" s="27" t="s">
        <v>58</v>
      </c>
      <c r="G271" s="27">
        <v>4.0</v>
      </c>
      <c r="H271" s="29"/>
    </row>
    <row r="272" ht="15.75" customHeight="1">
      <c r="A272" s="3" t="str">
        <f t="shared" si="1"/>
        <v>ENT-0075</v>
      </c>
      <c r="B272" s="23">
        <v>46282.0</v>
      </c>
      <c r="C272" s="24" t="s">
        <v>1146</v>
      </c>
      <c r="D272" s="30" t="str">
        <f t="array" ref="D272">IF(C272="","",IFERROR(INDEX(PRODUCTORES!$B:$B, MATCH(C272, PRODUCTORES!$F:$F, 0)) &amp; " " &amp; INDEX(PRODUCTORES!$C:$C, MATCH(C272, PRODUCTORES!$F:$F, 0)), IFERROR(INDEX(PRODUCTORES!$B:$B, MATCH(C272, PRODUCTORES!$A:$A, 0)) &amp; " " &amp; INDEX(PRODUCTORES!$C:$C, MATCH(C272, PRODUCTORES!$A:$A, 0)), IFERROR(TRIM(MID(C272, SEARCH(" - ", C272) + 3, 100)), "NO ENCONTRADO"))))</f>
        <v>OYARZO JUAN</v>
      </c>
      <c r="E272" s="31" t="str">
        <f t="array" ref="E272">IF(C272="","",IFERROR(INDEX(PRODUCTORES!$D:$D, MATCH(C272, PRODUCTORES!$F:$F, 0)), IFERROR(INDEX(PRODUCTORES!$D:$D, MATCH(IF(ISNUMBER(SEARCH(" - ", C272)), LEFT(C272, SEARCH(" - ", C272) - 1), C272), PRODUCTORES!$A:$A, 0)), "-")))</f>
        <v>Sí</v>
      </c>
      <c r="F272" s="27" t="s">
        <v>58</v>
      </c>
      <c r="G272" s="27">
        <v>4.0</v>
      </c>
      <c r="H272" s="29"/>
    </row>
    <row r="273" ht="15.75" customHeight="1">
      <c r="A273" s="3" t="str">
        <f t="shared" si="1"/>
        <v>ENT-0075</v>
      </c>
      <c r="B273" s="23">
        <v>46282.0</v>
      </c>
      <c r="C273" s="24" t="s">
        <v>1146</v>
      </c>
      <c r="D273" s="30" t="str">
        <f t="array" ref="D273">IF(C273="","",IFERROR(INDEX(PRODUCTORES!$B:$B, MATCH(C273, PRODUCTORES!$F:$F, 0)) &amp; " " &amp; INDEX(PRODUCTORES!$C:$C, MATCH(C273, PRODUCTORES!$F:$F, 0)), IFERROR(INDEX(PRODUCTORES!$B:$B, MATCH(C273, PRODUCTORES!$A:$A, 0)) &amp; " " &amp; INDEX(PRODUCTORES!$C:$C, MATCH(C273, PRODUCTORES!$A:$A, 0)), IFERROR(TRIM(MID(C273, SEARCH(" - ", C273) + 3, 100)), "NO ENCONTRADO"))))</f>
        <v>OYARZO JUAN</v>
      </c>
      <c r="E273" s="31" t="str">
        <f t="array" ref="E273">IF(C273="","",IFERROR(INDEX(PRODUCTORES!$D:$D, MATCH(C273, PRODUCTORES!$F:$F, 0)), IFERROR(INDEX(PRODUCTORES!$D:$D, MATCH(IF(ISNUMBER(SEARCH(" - ", C273)), LEFT(C273, SEARCH(" - ", C273) - 1), C273), PRODUCTORES!$A:$A, 0)), "-")))</f>
        <v>Sí</v>
      </c>
      <c r="F273" s="27" t="s">
        <v>70</v>
      </c>
      <c r="G273" s="27">
        <v>1.0</v>
      </c>
      <c r="H273" s="29"/>
    </row>
    <row r="274" ht="15.75" customHeight="1">
      <c r="A274" s="3" t="str">
        <f t="shared" si="1"/>
        <v>ENT-0075</v>
      </c>
      <c r="B274" s="23">
        <v>46282.0</v>
      </c>
      <c r="C274" s="24" t="s">
        <v>1146</v>
      </c>
      <c r="D274" s="30" t="str">
        <f t="array" ref="D274">IF(C274="","",IFERROR(INDEX(PRODUCTORES!$B:$B, MATCH(C274, PRODUCTORES!$F:$F, 0)) &amp; " " &amp; INDEX(PRODUCTORES!$C:$C, MATCH(C274, PRODUCTORES!$F:$F, 0)), IFERROR(INDEX(PRODUCTORES!$B:$B, MATCH(C274, PRODUCTORES!$A:$A, 0)) &amp; " " &amp; INDEX(PRODUCTORES!$C:$C, MATCH(C274, PRODUCTORES!$A:$A, 0)), IFERROR(TRIM(MID(C274, SEARCH(" - ", C274) + 3, 100)), "NO ENCONTRADO"))))</f>
        <v>OYARZO JUAN</v>
      </c>
      <c r="E274" s="31" t="str">
        <f t="array" ref="E274">IF(C274="","",IFERROR(INDEX(PRODUCTORES!$D:$D, MATCH(C274, PRODUCTORES!$F:$F, 0)), IFERROR(INDEX(PRODUCTORES!$D:$D, MATCH(IF(ISNUMBER(SEARCH(" - ", C274)), LEFT(C274, SEARCH(" - ", C274) - 1), C274), PRODUCTORES!$A:$A, 0)), "-")))</f>
        <v>Sí</v>
      </c>
      <c r="F274" s="27" t="s">
        <v>81</v>
      </c>
      <c r="G274" s="27">
        <v>1.0</v>
      </c>
      <c r="H274" s="29"/>
    </row>
    <row r="275" ht="15.75" customHeight="1">
      <c r="A275" s="3" t="str">
        <f t="shared" si="1"/>
        <v>ENT-0075</v>
      </c>
      <c r="B275" s="23">
        <v>46282.0</v>
      </c>
      <c r="C275" s="24" t="s">
        <v>1146</v>
      </c>
      <c r="D275" s="30" t="str">
        <f t="array" ref="D275">IF(C275="","",IFERROR(INDEX(PRODUCTORES!$B:$B, MATCH(C275, PRODUCTORES!$F:$F, 0)) &amp; " " &amp; INDEX(PRODUCTORES!$C:$C, MATCH(C275, PRODUCTORES!$F:$F, 0)), IFERROR(INDEX(PRODUCTORES!$B:$B, MATCH(C275, PRODUCTORES!$A:$A, 0)) &amp; " " &amp; INDEX(PRODUCTORES!$C:$C, MATCH(C275, PRODUCTORES!$A:$A, 0)), IFERROR(TRIM(MID(C275, SEARCH(" - ", C275) + 3, 100)), "NO ENCONTRADO"))))</f>
        <v>OYARZO JUAN</v>
      </c>
      <c r="E275" s="31" t="str">
        <f t="array" ref="E275">IF(C275="","",IFERROR(INDEX(PRODUCTORES!$D:$D, MATCH(C275, PRODUCTORES!$F:$F, 0)), IFERROR(INDEX(PRODUCTORES!$D:$D, MATCH(IF(ISNUMBER(SEARCH(" - ", C275)), LEFT(C275, SEARCH(" - ", C275) - 1), C275), PRODUCTORES!$A:$A, 0)), "-")))</f>
        <v>Sí</v>
      </c>
      <c r="F275" s="27" t="s">
        <v>78</v>
      </c>
      <c r="G275" s="27">
        <v>1.0</v>
      </c>
      <c r="H275" s="29"/>
    </row>
    <row r="276" ht="15.75" customHeight="1">
      <c r="A276" s="3" t="str">
        <f t="shared" si="1"/>
        <v>ENT-0076</v>
      </c>
      <c r="B276" s="23">
        <v>46282.0</v>
      </c>
      <c r="C276" s="24" t="s">
        <v>1075</v>
      </c>
      <c r="D276" s="30" t="str">
        <f t="array" ref="D276">IF(C276="","",IFERROR(INDEX(PRODUCTORES!$B:$B, MATCH(C276, PRODUCTORES!$F:$F, 0)) &amp; " " &amp; INDEX(PRODUCTORES!$C:$C, MATCH(C276, PRODUCTORES!$F:$F, 0)), IFERROR(INDEX(PRODUCTORES!$B:$B, MATCH(C276, PRODUCTORES!$A:$A, 0)) &amp; " " &amp; INDEX(PRODUCTORES!$C:$C, MATCH(C276, PRODUCTORES!$A:$A, 0)), IFERROR(TRIM(MID(C276, SEARCH(" - ", C276) + 3, 100)), "NO ENCONTRADO"))))</f>
        <v>NAHUELQUEN LEVI HAIDEE IVETT</v>
      </c>
      <c r="E276" s="31" t="str">
        <f t="array" ref="E276">IF(C276="","",IFERROR(INDEX(PRODUCTORES!$D:$D, MATCH(C276, PRODUCTORES!$F:$F, 0)), IFERROR(INDEX(PRODUCTORES!$D:$D, MATCH(IF(ISNUMBER(SEARCH(" - ", C276)), LEFT(C276, SEARCH(" - ", C276) - 1), C276), PRODUCTORES!$A:$A, 0)), "-")))</f>
        <v>Sí</v>
      </c>
      <c r="F276" s="27" t="s">
        <v>58</v>
      </c>
      <c r="G276" s="27">
        <v>6.0</v>
      </c>
      <c r="H276" s="29"/>
    </row>
    <row r="277" ht="15.75" customHeight="1">
      <c r="A277" s="3" t="str">
        <f t="shared" si="1"/>
        <v>ENT-0076</v>
      </c>
      <c r="B277" s="23">
        <v>46282.0</v>
      </c>
      <c r="C277" s="24" t="s">
        <v>1075</v>
      </c>
      <c r="D277" s="30" t="str">
        <f t="array" ref="D277">IF(C277="","",IFERROR(INDEX(PRODUCTORES!$B:$B, MATCH(C277, PRODUCTORES!$F:$F, 0)) &amp; " " &amp; INDEX(PRODUCTORES!$C:$C, MATCH(C277, PRODUCTORES!$F:$F, 0)), IFERROR(INDEX(PRODUCTORES!$B:$B, MATCH(C277, PRODUCTORES!$A:$A, 0)) &amp; " " &amp; INDEX(PRODUCTORES!$C:$C, MATCH(C277, PRODUCTORES!$A:$A, 0)), IFERROR(TRIM(MID(C277, SEARCH(" - ", C277) + 3, 100)), "NO ENCONTRADO"))))</f>
        <v>NAHUELQUEN LEVI HAIDEE IVETT</v>
      </c>
      <c r="E277" s="31" t="str">
        <f t="array" ref="E277">IF(C277="","",IFERROR(INDEX(PRODUCTORES!$D:$D, MATCH(C277, PRODUCTORES!$F:$F, 0)), IFERROR(INDEX(PRODUCTORES!$D:$D, MATCH(IF(ISNUMBER(SEARCH(" - ", C277)), LEFT(C277, SEARCH(" - ", C277) - 1), C277), PRODUCTORES!$A:$A, 0)), "-")))</f>
        <v>Sí</v>
      </c>
      <c r="F277" s="27" t="s">
        <v>81</v>
      </c>
      <c r="G277" s="27">
        <v>2.0</v>
      </c>
      <c r="H277" s="29"/>
    </row>
    <row r="278" ht="15.75" customHeight="1">
      <c r="A278" s="3" t="str">
        <f t="shared" si="1"/>
        <v>ENT-0076</v>
      </c>
      <c r="B278" s="23">
        <v>46282.0</v>
      </c>
      <c r="C278" s="24" t="s">
        <v>1075</v>
      </c>
      <c r="D278" s="30" t="str">
        <f t="array" ref="D278">IF(C278="","",IFERROR(INDEX(PRODUCTORES!$B:$B, MATCH(C278, PRODUCTORES!$F:$F, 0)) &amp; " " &amp; INDEX(PRODUCTORES!$C:$C, MATCH(C278, PRODUCTORES!$F:$F, 0)), IFERROR(INDEX(PRODUCTORES!$B:$B, MATCH(C278, PRODUCTORES!$A:$A, 0)) &amp; " " &amp; INDEX(PRODUCTORES!$C:$C, MATCH(C278, PRODUCTORES!$A:$A, 0)), IFERROR(TRIM(MID(C278, SEARCH(" - ", C278) + 3, 100)), "NO ENCONTRADO"))))</f>
        <v>NAHUELQUEN LEVI HAIDEE IVETT</v>
      </c>
      <c r="E278" s="31" t="str">
        <f t="array" ref="E278">IF(C278="","",IFERROR(INDEX(PRODUCTORES!$D:$D, MATCH(C278, PRODUCTORES!$F:$F, 0)), IFERROR(INDEX(PRODUCTORES!$D:$D, MATCH(IF(ISNUMBER(SEARCH(" - ", C278)), LEFT(C278, SEARCH(" - ", C278) - 1), C278), PRODUCTORES!$A:$A, 0)), "-")))</f>
        <v>Sí</v>
      </c>
      <c r="F278" s="27" t="s">
        <v>66</v>
      </c>
      <c r="G278" s="27">
        <v>1.0</v>
      </c>
      <c r="H278" s="29"/>
    </row>
    <row r="279" ht="15.75" customHeight="1">
      <c r="A279" s="3" t="str">
        <f t="shared" si="1"/>
        <v>ENT-0076</v>
      </c>
      <c r="B279" s="23">
        <v>46282.0</v>
      </c>
      <c r="C279" s="24" t="s">
        <v>1075</v>
      </c>
      <c r="D279" s="30" t="str">
        <f t="array" ref="D279">IF(C279="","",IFERROR(INDEX(PRODUCTORES!$B:$B, MATCH(C279, PRODUCTORES!$F:$F, 0)) &amp; " " &amp; INDEX(PRODUCTORES!$C:$C, MATCH(C279, PRODUCTORES!$F:$F, 0)), IFERROR(INDEX(PRODUCTORES!$B:$B, MATCH(C279, PRODUCTORES!$A:$A, 0)) &amp; " " &amp; INDEX(PRODUCTORES!$C:$C, MATCH(C279, PRODUCTORES!$A:$A, 0)), IFERROR(TRIM(MID(C279, SEARCH(" - ", C279) + 3, 100)), "NO ENCONTRADO"))))</f>
        <v>NAHUELQUEN LEVI HAIDEE IVETT</v>
      </c>
      <c r="E279" s="31" t="str">
        <f t="array" ref="E279">IF(C279="","",IFERROR(INDEX(PRODUCTORES!$D:$D, MATCH(C279, PRODUCTORES!$F:$F, 0)), IFERROR(INDEX(PRODUCTORES!$D:$D, MATCH(IF(ISNUMBER(SEARCH(" - ", C279)), LEFT(C279, SEARCH(" - ", C279) - 1), C279), PRODUCTORES!$A:$A, 0)), "-")))</f>
        <v>Sí</v>
      </c>
      <c r="F279" s="27" t="s">
        <v>70</v>
      </c>
      <c r="G279" s="27">
        <v>1.0</v>
      </c>
      <c r="H279" s="29"/>
    </row>
    <row r="280" ht="15.75" customHeight="1">
      <c r="A280" s="3" t="str">
        <f t="shared" si="1"/>
        <v>ENT-0077</v>
      </c>
      <c r="B280" s="23">
        <v>46282.0</v>
      </c>
      <c r="C280" s="24" t="s">
        <v>626</v>
      </c>
      <c r="D280" s="30" t="str">
        <f t="array" ref="D280">IF(C280="","",IFERROR(INDEX(PRODUCTORES!$B:$B, MATCH(C280, PRODUCTORES!$F:$F, 0)) &amp; " " &amp; INDEX(PRODUCTORES!$C:$C, MATCH(C280, PRODUCTORES!$F:$F, 0)), IFERROR(INDEX(PRODUCTORES!$B:$B, MATCH(C280, PRODUCTORES!$A:$A, 0)) &amp; " " &amp; INDEX(PRODUCTORES!$C:$C, MATCH(C280, PRODUCTORES!$A:$A, 0)), IFERROR(TRIM(MID(C280, SEARCH(" - ", C280) + 3, 100)), "NO ENCONTRADO"))))</f>
        <v>GARAY JOSE</v>
      </c>
      <c r="E280" s="31" t="str">
        <f t="array" ref="E280">IF(C280="","",IFERROR(INDEX(PRODUCTORES!$D:$D, MATCH(C280, PRODUCTORES!$F:$F, 0)), IFERROR(INDEX(PRODUCTORES!$D:$D, MATCH(IF(ISNUMBER(SEARCH(" - ", C280)), LEFT(C280, SEARCH(" - ", C280) - 1), C280), PRODUCTORES!$A:$A, 0)), "-")))</f>
        <v>No</v>
      </c>
      <c r="F280" s="27" t="s">
        <v>81</v>
      </c>
      <c r="G280" s="27">
        <v>1.0</v>
      </c>
      <c r="H280" s="29"/>
    </row>
    <row r="281" ht="15.75" customHeight="1">
      <c r="A281" s="3" t="str">
        <f t="shared" si="1"/>
        <v>ENT-0077</v>
      </c>
      <c r="B281" s="23">
        <v>46282.0</v>
      </c>
      <c r="C281" s="24" t="s">
        <v>626</v>
      </c>
      <c r="D281" s="30" t="str">
        <f t="array" ref="D281">IF(C281="","",IFERROR(INDEX(PRODUCTORES!$B:$B, MATCH(C281, PRODUCTORES!$F:$F, 0)) &amp; " " &amp; INDEX(PRODUCTORES!$C:$C, MATCH(C281, PRODUCTORES!$F:$F, 0)), IFERROR(INDEX(PRODUCTORES!$B:$B, MATCH(C281, PRODUCTORES!$A:$A, 0)) &amp; " " &amp; INDEX(PRODUCTORES!$C:$C, MATCH(C281, PRODUCTORES!$A:$A, 0)), IFERROR(TRIM(MID(C281, SEARCH(" - ", C281) + 3, 100)), "NO ENCONTRADO"))))</f>
        <v>GARAY JOSE</v>
      </c>
      <c r="E281" s="31" t="str">
        <f t="array" ref="E281">IF(C281="","",IFERROR(INDEX(PRODUCTORES!$D:$D, MATCH(C281, PRODUCTORES!$F:$F, 0)), IFERROR(INDEX(PRODUCTORES!$D:$D, MATCH(IF(ISNUMBER(SEARCH(" - ", C281)), LEFT(C281, SEARCH(" - ", C281) - 1), C281), PRODUCTORES!$A:$A, 0)), "-")))</f>
        <v>No</v>
      </c>
      <c r="F281" s="27" t="s">
        <v>58</v>
      </c>
      <c r="G281" s="27">
        <v>10.0</v>
      </c>
      <c r="H281" s="29"/>
    </row>
    <row r="282" ht="15.75" customHeight="1">
      <c r="A282" s="3" t="str">
        <f t="shared" si="1"/>
        <v>ENT-0077</v>
      </c>
      <c r="B282" s="23">
        <v>46282.0</v>
      </c>
      <c r="C282" s="24" t="s">
        <v>626</v>
      </c>
      <c r="D282" s="30" t="str">
        <f t="array" ref="D282">IF(C282="","",IFERROR(INDEX(PRODUCTORES!$B:$B, MATCH(C282, PRODUCTORES!$F:$F, 0)) &amp; " " &amp; INDEX(PRODUCTORES!$C:$C, MATCH(C282, PRODUCTORES!$F:$F, 0)), IFERROR(INDEX(PRODUCTORES!$B:$B, MATCH(C282, PRODUCTORES!$A:$A, 0)) &amp; " " &amp; INDEX(PRODUCTORES!$C:$C, MATCH(C282, PRODUCTORES!$A:$A, 0)), IFERROR(TRIM(MID(C282, SEARCH(" - ", C282) + 3, 100)), "NO ENCONTRADO"))))</f>
        <v>GARAY JOSE</v>
      </c>
      <c r="E282" s="31" t="str">
        <f t="array" ref="E282">IF(C282="","",IFERROR(INDEX(PRODUCTORES!$D:$D, MATCH(C282, PRODUCTORES!$F:$F, 0)), IFERROR(INDEX(PRODUCTORES!$D:$D, MATCH(IF(ISNUMBER(SEARCH(" - ", C282)), LEFT(C282, SEARCH(" - ", C282) - 1), C282), PRODUCTORES!$A:$A, 0)), "-")))</f>
        <v>No</v>
      </c>
      <c r="F282" s="27" t="s">
        <v>70</v>
      </c>
      <c r="G282" s="27">
        <v>4.0</v>
      </c>
      <c r="H282" s="29"/>
    </row>
    <row r="283" ht="15.75" customHeight="1">
      <c r="A283" s="3"/>
      <c r="B283" s="29"/>
      <c r="C283" s="4"/>
      <c r="D283" s="30" t="str">
        <f t="array" ref="D283">IF(C283="","",IFERROR(INDEX(PRODUCTORES!$B:$B, MATCH(C283, PRODUCTORES!$F:$F, 0)) &amp; " " &amp; INDEX(PRODUCTORES!$C:$C, MATCH(C283, PRODUCTORES!$F:$F, 0)), IFERROR(INDEX(PRODUCTORES!$B:$B, MATCH(C283, PRODUCTORES!$A:$A, 0)) &amp; " " &amp; INDEX(PRODUCTORES!$C:$C, MATCH(C283, PRODUCTORES!$A:$A, 0)), IFERROR(TRIM(MID(C283, SEARCH(" - ", C283) + 3, 100)), "NO ENCONTRADO"))))</f>
        <v/>
      </c>
      <c r="E283" s="31" t="str">
        <f t="array" ref="E283">IF(C283="","",IFERROR(INDEX(PRODUCTORES!$D:$D, MATCH(C283, PRODUCTORES!$F:$F, 0)), IFERROR(INDEX(PRODUCTORES!$D:$D, MATCH(IF(ISNUMBER(SEARCH(" - ", C283)), LEFT(C283, SEARCH(" - ", C283) - 1), C283), PRODUCTORES!$A:$A, 0)), "-")))</f>
        <v/>
      </c>
      <c r="F283" s="29"/>
      <c r="G283" s="29"/>
      <c r="H283" s="29"/>
    </row>
    <row r="284" ht="15.75" customHeight="1">
      <c r="A284" s="3"/>
      <c r="B284" s="29"/>
      <c r="C284" s="4"/>
      <c r="D284" s="30" t="str">
        <f t="array" ref="D284">IF(C284="","",IFERROR(INDEX(PRODUCTORES!$B:$B, MATCH(C284, PRODUCTORES!$F:$F, 0)) &amp; " " &amp; INDEX(PRODUCTORES!$C:$C, MATCH(C284, PRODUCTORES!$F:$F, 0)), IFERROR(INDEX(PRODUCTORES!$B:$B, MATCH(C284, PRODUCTORES!$A:$A, 0)) &amp; " " &amp; INDEX(PRODUCTORES!$C:$C, MATCH(C284, PRODUCTORES!$A:$A, 0)), IFERROR(TRIM(MID(C284, SEARCH(" - ", C284) + 3, 100)), "NO ENCONTRADO"))))</f>
        <v/>
      </c>
      <c r="E284" s="31" t="str">
        <f t="array" ref="E284">IF(C284="","",IFERROR(INDEX(PRODUCTORES!$D:$D, MATCH(C284, PRODUCTORES!$F:$F, 0)), IFERROR(INDEX(PRODUCTORES!$D:$D, MATCH(IF(ISNUMBER(SEARCH(" - ", C284)), LEFT(C284, SEARCH(" - ", C284) - 1), C284), PRODUCTORES!$A:$A, 0)), "-")))</f>
        <v/>
      </c>
      <c r="F284" s="29"/>
      <c r="G284" s="29"/>
      <c r="H284" s="29"/>
    </row>
    <row r="285" ht="15.75" customHeight="1">
      <c r="A285" s="3"/>
      <c r="B285" s="29"/>
      <c r="C285" s="4"/>
      <c r="D285" s="30" t="str">
        <f t="array" ref="D285">IF(C285="","",IFERROR(INDEX(PRODUCTORES!$B:$B, MATCH(C285, PRODUCTORES!$F:$F, 0)) &amp; " " &amp; INDEX(PRODUCTORES!$C:$C, MATCH(C285, PRODUCTORES!$F:$F, 0)), IFERROR(INDEX(PRODUCTORES!$B:$B, MATCH(C285, PRODUCTORES!$A:$A, 0)) &amp; " " &amp; INDEX(PRODUCTORES!$C:$C, MATCH(C285, PRODUCTORES!$A:$A, 0)), IFERROR(TRIM(MID(C285, SEARCH(" - ", C285) + 3, 100)), "NO ENCONTRADO"))))</f>
        <v/>
      </c>
      <c r="E285" s="31" t="str">
        <f t="array" ref="E285">IF(C285="","",IFERROR(INDEX(PRODUCTORES!$D:$D, MATCH(C285, PRODUCTORES!$F:$F, 0)), IFERROR(INDEX(PRODUCTORES!$D:$D, MATCH(IF(ISNUMBER(SEARCH(" - ", C285)), LEFT(C285, SEARCH(" - ", C285) - 1), C285), PRODUCTORES!$A:$A, 0)), "-")))</f>
        <v/>
      </c>
      <c r="F285" s="29"/>
      <c r="G285" s="29"/>
      <c r="H285" s="29"/>
    </row>
    <row r="286" ht="15.75" customHeight="1">
      <c r="A286" s="3"/>
      <c r="B286" s="29"/>
      <c r="C286" s="4"/>
      <c r="D286" s="30" t="str">
        <f t="array" ref="D286">IF(C286="","",IFERROR(INDEX(PRODUCTORES!$B:$B, MATCH(C286, PRODUCTORES!$F:$F, 0)) &amp; " " &amp; INDEX(PRODUCTORES!$C:$C, MATCH(C286, PRODUCTORES!$F:$F, 0)), IFERROR(INDEX(PRODUCTORES!$B:$B, MATCH(C286, PRODUCTORES!$A:$A, 0)) &amp; " " &amp; INDEX(PRODUCTORES!$C:$C, MATCH(C286, PRODUCTORES!$A:$A, 0)), IFERROR(TRIM(MID(C286, SEARCH(" - ", C286) + 3, 100)), "NO ENCONTRADO"))))</f>
        <v/>
      </c>
      <c r="E286" s="31" t="str">
        <f t="array" ref="E286">IF(C286="","",IFERROR(INDEX(PRODUCTORES!$D:$D, MATCH(C286, PRODUCTORES!$F:$F, 0)), IFERROR(INDEX(PRODUCTORES!$D:$D, MATCH(IF(ISNUMBER(SEARCH(" - ", C286)), LEFT(C286, SEARCH(" - ", C286) - 1), C286), PRODUCTORES!$A:$A, 0)), "-")))</f>
        <v/>
      </c>
      <c r="F286" s="29"/>
      <c r="G286" s="29"/>
      <c r="H286" s="29"/>
    </row>
    <row r="287" ht="15.75" customHeight="1">
      <c r="A287" s="3"/>
      <c r="B287" s="29"/>
      <c r="C287" s="4"/>
      <c r="D287" s="30" t="str">
        <f t="array" ref="D287">IF(C287="","",IFERROR(INDEX(PRODUCTORES!$B:$B, MATCH(C287, PRODUCTORES!$F:$F, 0)) &amp; " " &amp; INDEX(PRODUCTORES!$C:$C, MATCH(C287, PRODUCTORES!$F:$F, 0)), IFERROR(INDEX(PRODUCTORES!$B:$B, MATCH(C287, PRODUCTORES!$A:$A, 0)) &amp; " " &amp; INDEX(PRODUCTORES!$C:$C, MATCH(C287, PRODUCTORES!$A:$A, 0)), IFERROR(TRIM(MID(C287, SEARCH(" - ", C287) + 3, 100)), "NO ENCONTRADO"))))</f>
        <v/>
      </c>
      <c r="E287" s="31" t="str">
        <f t="array" ref="E287">IF(C287="","",IFERROR(INDEX(PRODUCTORES!$D:$D, MATCH(C287, PRODUCTORES!$F:$F, 0)), IFERROR(INDEX(PRODUCTORES!$D:$D, MATCH(IF(ISNUMBER(SEARCH(" - ", C287)), LEFT(C287, SEARCH(" - ", C287) - 1), C287), PRODUCTORES!$A:$A, 0)), "-")))</f>
        <v/>
      </c>
      <c r="F287" s="29"/>
      <c r="G287" s="29"/>
      <c r="H287" s="29"/>
    </row>
    <row r="288" ht="15.75" customHeight="1">
      <c r="A288" s="3"/>
      <c r="B288" s="29"/>
      <c r="C288" s="4"/>
      <c r="D288" s="30" t="str">
        <f t="array" ref="D288">IF(C288="","",IFERROR(INDEX(PRODUCTORES!$B:$B, MATCH(C288, PRODUCTORES!$F:$F, 0)) &amp; " " &amp; INDEX(PRODUCTORES!$C:$C, MATCH(C288, PRODUCTORES!$F:$F, 0)), IFERROR(INDEX(PRODUCTORES!$B:$B, MATCH(C288, PRODUCTORES!$A:$A, 0)) &amp; " " &amp; INDEX(PRODUCTORES!$C:$C, MATCH(C288, PRODUCTORES!$A:$A, 0)), IFERROR(TRIM(MID(C288, SEARCH(" - ", C288) + 3, 100)), "NO ENCONTRADO"))))</f>
        <v/>
      </c>
      <c r="E288" s="31" t="str">
        <f t="array" ref="E288">IF(C288="","",IFERROR(INDEX(PRODUCTORES!$D:$D, MATCH(C288, PRODUCTORES!$F:$F, 0)), IFERROR(INDEX(PRODUCTORES!$D:$D, MATCH(IF(ISNUMBER(SEARCH(" - ", C288)), LEFT(C288, SEARCH(" - ", C288) - 1), C288), PRODUCTORES!$A:$A, 0)), "-")))</f>
        <v/>
      </c>
      <c r="F288" s="29"/>
      <c r="G288" s="29"/>
      <c r="H288" s="29"/>
    </row>
    <row r="289" ht="15.75" customHeight="1">
      <c r="A289" s="3"/>
      <c r="B289" s="29"/>
      <c r="C289" s="4"/>
      <c r="D289" s="30" t="str">
        <f t="array" ref="D289">IF(C289="","",IFERROR(INDEX(PRODUCTORES!$B:$B, MATCH(C289, PRODUCTORES!$F:$F, 0)) &amp; " " &amp; INDEX(PRODUCTORES!$C:$C, MATCH(C289, PRODUCTORES!$F:$F, 0)), IFERROR(INDEX(PRODUCTORES!$B:$B, MATCH(C289, PRODUCTORES!$A:$A, 0)) &amp; " " &amp; INDEX(PRODUCTORES!$C:$C, MATCH(C289, PRODUCTORES!$A:$A, 0)), IFERROR(TRIM(MID(C289, SEARCH(" - ", C289) + 3, 100)), "NO ENCONTRADO"))))</f>
        <v/>
      </c>
      <c r="E289" s="31" t="str">
        <f t="array" ref="E289">IF(C289="","",IFERROR(INDEX(PRODUCTORES!$D:$D, MATCH(C289, PRODUCTORES!$F:$F, 0)), IFERROR(INDEX(PRODUCTORES!$D:$D, MATCH(IF(ISNUMBER(SEARCH(" - ", C289)), LEFT(C289, SEARCH(" - ", C289) - 1), C289), PRODUCTORES!$A:$A, 0)), "-")))</f>
        <v/>
      </c>
      <c r="F289" s="29"/>
      <c r="G289" s="29"/>
      <c r="H289" s="29"/>
    </row>
    <row r="290" ht="15.75" customHeight="1">
      <c r="A290" s="3"/>
      <c r="B290" s="29"/>
      <c r="C290" s="4"/>
      <c r="D290" s="30" t="str">
        <f t="array" ref="D290">IF(C290="","",IFERROR(INDEX(PRODUCTORES!$B:$B, MATCH(C290, PRODUCTORES!$F:$F, 0)) &amp; " " &amp; INDEX(PRODUCTORES!$C:$C, MATCH(C290, PRODUCTORES!$F:$F, 0)), IFERROR(INDEX(PRODUCTORES!$B:$B, MATCH(C290, PRODUCTORES!$A:$A, 0)) &amp; " " &amp; INDEX(PRODUCTORES!$C:$C, MATCH(C290, PRODUCTORES!$A:$A, 0)), IFERROR(TRIM(MID(C290, SEARCH(" - ", C290) + 3, 100)), "NO ENCONTRADO"))))</f>
        <v/>
      </c>
      <c r="E290" s="31" t="str">
        <f t="array" ref="E290">IF(C290="","",IFERROR(INDEX(PRODUCTORES!$D:$D, MATCH(C290, PRODUCTORES!$F:$F, 0)), IFERROR(INDEX(PRODUCTORES!$D:$D, MATCH(IF(ISNUMBER(SEARCH(" - ", C290)), LEFT(C290, SEARCH(" - ", C290) - 1), C290), PRODUCTORES!$A:$A, 0)), "-")))</f>
        <v/>
      </c>
      <c r="F290" s="29"/>
      <c r="G290" s="29"/>
      <c r="H290" s="29"/>
    </row>
    <row r="291" ht="15.75" customHeight="1">
      <c r="A291" s="3"/>
      <c r="B291" s="29"/>
      <c r="C291" s="4"/>
      <c r="D291" s="30" t="str">
        <f t="array" ref="D291">IF(C291="","",IFERROR(INDEX(PRODUCTORES!$B:$B, MATCH(C291, PRODUCTORES!$F:$F, 0)) &amp; " " &amp; INDEX(PRODUCTORES!$C:$C, MATCH(C291, PRODUCTORES!$F:$F, 0)), IFERROR(INDEX(PRODUCTORES!$B:$B, MATCH(C291, PRODUCTORES!$A:$A, 0)) &amp; " " &amp; INDEX(PRODUCTORES!$C:$C, MATCH(C291, PRODUCTORES!$A:$A, 0)), IFERROR(TRIM(MID(C291, SEARCH(" - ", C291) + 3, 100)), "NO ENCONTRADO"))))</f>
        <v/>
      </c>
      <c r="E291" s="31" t="str">
        <f t="array" ref="E291">IF(C291="","",IFERROR(INDEX(PRODUCTORES!$D:$D, MATCH(C291, PRODUCTORES!$F:$F, 0)), IFERROR(INDEX(PRODUCTORES!$D:$D, MATCH(IF(ISNUMBER(SEARCH(" - ", C291)), LEFT(C291, SEARCH(" - ", C291) - 1), C291), PRODUCTORES!$A:$A, 0)), "-")))</f>
        <v/>
      </c>
      <c r="F291" s="29"/>
      <c r="G291" s="29"/>
      <c r="H291" s="29"/>
    </row>
    <row r="292" ht="15.75" customHeight="1">
      <c r="A292" s="3"/>
      <c r="B292" s="29"/>
      <c r="C292" s="4"/>
      <c r="D292" s="30" t="str">
        <f t="array" ref="D292">IF(C292="","",IFERROR(INDEX(PRODUCTORES!$B:$B, MATCH(C292, PRODUCTORES!$F:$F, 0)) &amp; " " &amp; INDEX(PRODUCTORES!$C:$C, MATCH(C292, PRODUCTORES!$F:$F, 0)), IFERROR(INDEX(PRODUCTORES!$B:$B, MATCH(C292, PRODUCTORES!$A:$A, 0)) &amp; " " &amp; INDEX(PRODUCTORES!$C:$C, MATCH(C292, PRODUCTORES!$A:$A, 0)), IFERROR(TRIM(MID(C292, SEARCH(" - ", C292) + 3, 100)), "NO ENCONTRADO"))))</f>
        <v/>
      </c>
      <c r="E292" s="31" t="str">
        <f t="array" ref="E292">IF(C292="","",IFERROR(INDEX(PRODUCTORES!$D:$D, MATCH(C292, PRODUCTORES!$F:$F, 0)), IFERROR(INDEX(PRODUCTORES!$D:$D, MATCH(IF(ISNUMBER(SEARCH(" - ", C292)), LEFT(C292, SEARCH(" - ", C292) - 1), C292), PRODUCTORES!$A:$A, 0)), "-")))</f>
        <v/>
      </c>
      <c r="F292" s="29"/>
      <c r="G292" s="29"/>
      <c r="H292" s="29"/>
    </row>
    <row r="293" ht="15.75" customHeight="1">
      <c r="A293" s="3"/>
      <c r="B293" s="29"/>
      <c r="C293" s="4"/>
      <c r="D293" s="30" t="str">
        <f t="array" ref="D293">IF(C293="","",IFERROR(INDEX(PRODUCTORES!$B:$B, MATCH(C293, PRODUCTORES!$F:$F, 0)) &amp; " " &amp; INDEX(PRODUCTORES!$C:$C, MATCH(C293, PRODUCTORES!$F:$F, 0)), IFERROR(INDEX(PRODUCTORES!$B:$B, MATCH(C293, PRODUCTORES!$A:$A, 0)) &amp; " " &amp; INDEX(PRODUCTORES!$C:$C, MATCH(C293, PRODUCTORES!$A:$A, 0)), IFERROR(TRIM(MID(C293, SEARCH(" - ", C293) + 3, 100)), "NO ENCONTRADO"))))</f>
        <v/>
      </c>
      <c r="E293" s="31" t="str">
        <f t="array" ref="E293">IF(C293="","",IFERROR(INDEX(PRODUCTORES!$D:$D, MATCH(C293, PRODUCTORES!$F:$F, 0)), IFERROR(INDEX(PRODUCTORES!$D:$D, MATCH(IF(ISNUMBER(SEARCH(" - ", C293)), LEFT(C293, SEARCH(" - ", C293) - 1), C293), PRODUCTORES!$A:$A, 0)), "-")))</f>
        <v/>
      </c>
      <c r="F293" s="29"/>
      <c r="G293" s="29"/>
      <c r="H293" s="29"/>
    </row>
    <row r="294" ht="15.75" customHeight="1">
      <c r="A294" s="3"/>
      <c r="B294" s="29"/>
      <c r="C294" s="4"/>
      <c r="D294" s="30" t="str">
        <f t="array" ref="D294">IF(C294="","",IFERROR(INDEX(PRODUCTORES!$B:$B, MATCH(C294, PRODUCTORES!$F:$F, 0)) &amp; " " &amp; INDEX(PRODUCTORES!$C:$C, MATCH(C294, PRODUCTORES!$F:$F, 0)), IFERROR(INDEX(PRODUCTORES!$B:$B, MATCH(C294, PRODUCTORES!$A:$A, 0)) &amp; " " &amp; INDEX(PRODUCTORES!$C:$C, MATCH(C294, PRODUCTORES!$A:$A, 0)), IFERROR(TRIM(MID(C294, SEARCH(" - ", C294) + 3, 100)), "NO ENCONTRADO"))))</f>
        <v/>
      </c>
      <c r="E294" s="31" t="str">
        <f t="array" ref="E294">IF(C294="","",IFERROR(INDEX(PRODUCTORES!$D:$D, MATCH(C294, PRODUCTORES!$F:$F, 0)), IFERROR(INDEX(PRODUCTORES!$D:$D, MATCH(IF(ISNUMBER(SEARCH(" - ", C294)), LEFT(C294, SEARCH(" - ", C294) - 1), C294), PRODUCTORES!$A:$A, 0)), "-")))</f>
        <v/>
      </c>
      <c r="F294" s="29"/>
      <c r="G294" s="29"/>
      <c r="H294" s="29"/>
    </row>
    <row r="295" ht="15.75" customHeight="1">
      <c r="A295" s="3"/>
      <c r="B295" s="29"/>
      <c r="C295" s="4"/>
      <c r="D295" s="30" t="str">
        <f t="array" ref="D295">IF(C295="","",IFERROR(INDEX(PRODUCTORES!$B:$B, MATCH(C295, PRODUCTORES!$F:$F, 0)) &amp; " " &amp; INDEX(PRODUCTORES!$C:$C, MATCH(C295, PRODUCTORES!$F:$F, 0)), IFERROR(INDEX(PRODUCTORES!$B:$B, MATCH(C295, PRODUCTORES!$A:$A, 0)) &amp; " " &amp; INDEX(PRODUCTORES!$C:$C, MATCH(C295, PRODUCTORES!$A:$A, 0)), IFERROR(TRIM(MID(C295, SEARCH(" - ", C295) + 3, 100)), "NO ENCONTRADO"))))</f>
        <v/>
      </c>
      <c r="E295" s="31" t="str">
        <f t="array" ref="E295">IF(C295="","",IFERROR(INDEX(PRODUCTORES!$D:$D, MATCH(C295, PRODUCTORES!$F:$F, 0)), IFERROR(INDEX(PRODUCTORES!$D:$D, MATCH(IF(ISNUMBER(SEARCH(" - ", C295)), LEFT(C295, SEARCH(" - ", C295) - 1), C295), PRODUCTORES!$A:$A, 0)), "-")))</f>
        <v/>
      </c>
      <c r="F295" s="29"/>
      <c r="G295" s="29"/>
      <c r="H295" s="29"/>
    </row>
    <row r="296" ht="15.75" customHeight="1">
      <c r="A296" s="3"/>
      <c r="B296" s="29"/>
      <c r="C296" s="4"/>
      <c r="D296" s="30" t="str">
        <f t="array" ref="D296">IF(C296="","",IFERROR(INDEX(PRODUCTORES!$B:$B, MATCH(C296, PRODUCTORES!$F:$F, 0)) &amp; " " &amp; INDEX(PRODUCTORES!$C:$C, MATCH(C296, PRODUCTORES!$F:$F, 0)), IFERROR(INDEX(PRODUCTORES!$B:$B, MATCH(C296, PRODUCTORES!$A:$A, 0)) &amp; " " &amp; INDEX(PRODUCTORES!$C:$C, MATCH(C296, PRODUCTORES!$A:$A, 0)), IFERROR(TRIM(MID(C296, SEARCH(" - ", C296) + 3, 100)), "NO ENCONTRADO"))))</f>
        <v/>
      </c>
      <c r="E296" s="31" t="str">
        <f t="array" ref="E296">IF(C296="","",IFERROR(INDEX(PRODUCTORES!$D:$D, MATCH(C296, PRODUCTORES!$F:$F, 0)), IFERROR(INDEX(PRODUCTORES!$D:$D, MATCH(IF(ISNUMBER(SEARCH(" - ", C296)), LEFT(C296, SEARCH(" - ", C296) - 1), C296), PRODUCTORES!$A:$A, 0)), "-")))</f>
        <v/>
      </c>
      <c r="F296" s="29"/>
      <c r="G296" s="29"/>
      <c r="H296" s="29"/>
    </row>
    <row r="297" ht="15.75" customHeight="1">
      <c r="A297" s="3"/>
      <c r="B297" s="29"/>
      <c r="C297" s="4"/>
      <c r="D297" s="30" t="str">
        <f t="array" ref="D297">IF(C297="","",IFERROR(INDEX(PRODUCTORES!$B:$B, MATCH(C297, PRODUCTORES!$F:$F, 0)) &amp; " " &amp; INDEX(PRODUCTORES!$C:$C, MATCH(C297, PRODUCTORES!$F:$F, 0)), IFERROR(INDEX(PRODUCTORES!$B:$B, MATCH(C297, PRODUCTORES!$A:$A, 0)) &amp; " " &amp; INDEX(PRODUCTORES!$C:$C, MATCH(C297, PRODUCTORES!$A:$A, 0)), IFERROR(TRIM(MID(C297, SEARCH(" - ", C297) + 3, 100)), "NO ENCONTRADO"))))</f>
        <v/>
      </c>
      <c r="E297" s="31" t="str">
        <f t="array" ref="E297">IF(C297="","",IFERROR(INDEX(PRODUCTORES!$D:$D, MATCH(C297, PRODUCTORES!$F:$F, 0)), IFERROR(INDEX(PRODUCTORES!$D:$D, MATCH(IF(ISNUMBER(SEARCH(" - ", C297)), LEFT(C297, SEARCH(" - ", C297) - 1), C297), PRODUCTORES!$A:$A, 0)), "-")))</f>
        <v/>
      </c>
      <c r="F297" s="29"/>
      <c r="G297" s="29"/>
      <c r="H297" s="29"/>
    </row>
    <row r="298" ht="15.75" customHeight="1">
      <c r="A298" s="3"/>
      <c r="B298" s="29"/>
      <c r="C298" s="4"/>
      <c r="D298" s="30" t="str">
        <f t="array" ref="D298">IF(C298="","",IFERROR(INDEX(PRODUCTORES!$B:$B, MATCH(C298, PRODUCTORES!$F:$F, 0)) &amp; " " &amp; INDEX(PRODUCTORES!$C:$C, MATCH(C298, PRODUCTORES!$F:$F, 0)), IFERROR(INDEX(PRODUCTORES!$B:$B, MATCH(C298, PRODUCTORES!$A:$A, 0)) &amp; " " &amp; INDEX(PRODUCTORES!$C:$C, MATCH(C298, PRODUCTORES!$A:$A, 0)), IFERROR(TRIM(MID(C298, SEARCH(" - ", C298) + 3, 100)), "NO ENCONTRADO"))))</f>
        <v/>
      </c>
      <c r="E298" s="31" t="str">
        <f t="array" ref="E298">IF(C298="","",IFERROR(INDEX(PRODUCTORES!$D:$D, MATCH(C298, PRODUCTORES!$F:$F, 0)), IFERROR(INDEX(PRODUCTORES!$D:$D, MATCH(IF(ISNUMBER(SEARCH(" - ", C298)), LEFT(C298, SEARCH(" - ", C298) - 1), C298), PRODUCTORES!$A:$A, 0)), "-")))</f>
        <v/>
      </c>
      <c r="F298" s="29"/>
      <c r="G298" s="29"/>
      <c r="H298" s="29"/>
    </row>
    <row r="299" ht="15.75" customHeight="1">
      <c r="A299" s="3"/>
      <c r="B299" s="29"/>
      <c r="C299" s="4"/>
      <c r="D299" s="30" t="str">
        <f t="array" ref="D299">IF(C299="","",IFERROR(INDEX(PRODUCTORES!$B:$B, MATCH(C299, PRODUCTORES!$F:$F, 0)) &amp; " " &amp; INDEX(PRODUCTORES!$C:$C, MATCH(C299, PRODUCTORES!$F:$F, 0)), IFERROR(INDEX(PRODUCTORES!$B:$B, MATCH(C299, PRODUCTORES!$A:$A, 0)) &amp; " " &amp; INDEX(PRODUCTORES!$C:$C, MATCH(C299, PRODUCTORES!$A:$A, 0)), IFERROR(TRIM(MID(C299, SEARCH(" - ", C299) + 3, 100)), "NO ENCONTRADO"))))</f>
        <v/>
      </c>
      <c r="E299" s="31" t="str">
        <f t="array" ref="E299">IF(C299="","",IFERROR(INDEX(PRODUCTORES!$D:$D, MATCH(C299, PRODUCTORES!$F:$F, 0)), IFERROR(INDEX(PRODUCTORES!$D:$D, MATCH(IF(ISNUMBER(SEARCH(" - ", C299)), LEFT(C299, SEARCH(" - ", C299) - 1), C299), PRODUCTORES!$A:$A, 0)), "-")))</f>
        <v/>
      </c>
      <c r="F299" s="29"/>
      <c r="G299" s="29"/>
      <c r="H299" s="29"/>
    </row>
    <row r="300" ht="15.75" customHeight="1">
      <c r="A300" s="3"/>
      <c r="B300" s="29"/>
      <c r="C300" s="4"/>
      <c r="D300" s="30" t="str">
        <f t="array" ref="D300">IF(C300="","",IFERROR(INDEX(PRODUCTORES!$B:$B, MATCH(C300, PRODUCTORES!$F:$F, 0)) &amp; " " &amp; INDEX(PRODUCTORES!$C:$C, MATCH(C300, PRODUCTORES!$F:$F, 0)), IFERROR(INDEX(PRODUCTORES!$B:$B, MATCH(C300, PRODUCTORES!$A:$A, 0)) &amp; " " &amp; INDEX(PRODUCTORES!$C:$C, MATCH(C300, PRODUCTORES!$A:$A, 0)), IFERROR(TRIM(MID(C300, SEARCH(" - ", C300) + 3, 100)), "NO ENCONTRADO"))))</f>
        <v/>
      </c>
      <c r="E300" s="31" t="str">
        <f t="array" ref="E300">IF(C300="","",IFERROR(INDEX(PRODUCTORES!$D:$D, MATCH(C300, PRODUCTORES!$F:$F, 0)), IFERROR(INDEX(PRODUCTORES!$D:$D, MATCH(IF(ISNUMBER(SEARCH(" - ", C300)), LEFT(C300, SEARCH(" - ", C300) - 1), C300), PRODUCTORES!$A:$A, 0)), "-")))</f>
        <v/>
      </c>
      <c r="F300" s="29"/>
      <c r="G300" s="29"/>
      <c r="H300" s="29"/>
    </row>
    <row r="301" ht="15.75" customHeight="1">
      <c r="A301" s="3"/>
      <c r="B301" s="29"/>
      <c r="C301" s="4"/>
      <c r="D301" s="30" t="str">
        <f t="array" ref="D301">IF(C301="","",IFERROR(INDEX(PRODUCTORES!$B:$B, MATCH(C301, PRODUCTORES!$F:$F, 0)) &amp; " " &amp; INDEX(PRODUCTORES!$C:$C, MATCH(C301, PRODUCTORES!$F:$F, 0)), IFERROR(INDEX(PRODUCTORES!$B:$B, MATCH(C301, PRODUCTORES!$A:$A, 0)) &amp; " " &amp; INDEX(PRODUCTORES!$C:$C, MATCH(C301, PRODUCTORES!$A:$A, 0)), IFERROR(TRIM(MID(C301, SEARCH(" - ", C301) + 3, 100)), "NO ENCONTRADO"))))</f>
        <v/>
      </c>
      <c r="E301" s="31" t="str">
        <f t="array" ref="E301">IF(C301="","",IFERROR(INDEX(PRODUCTORES!$D:$D, MATCH(C301, PRODUCTORES!$F:$F, 0)), IFERROR(INDEX(PRODUCTORES!$D:$D, MATCH(IF(ISNUMBER(SEARCH(" - ", C301)), LEFT(C301, SEARCH(" - ", C301) - 1), C301), PRODUCTORES!$A:$A, 0)), "-")))</f>
        <v/>
      </c>
      <c r="F301" s="29"/>
      <c r="G301" s="29"/>
      <c r="H301" s="29"/>
    </row>
    <row r="302" ht="15.75" customHeight="1">
      <c r="A302" s="3"/>
      <c r="B302" s="29"/>
      <c r="C302" s="4"/>
      <c r="D302" s="30" t="str">
        <f t="array" ref="D302">IF(C302="","",IFERROR(INDEX(PRODUCTORES!$B:$B, MATCH(C302, PRODUCTORES!$F:$F, 0)) &amp; " " &amp; INDEX(PRODUCTORES!$C:$C, MATCH(C302, PRODUCTORES!$F:$F, 0)), IFERROR(INDEX(PRODUCTORES!$B:$B, MATCH(C302, PRODUCTORES!$A:$A, 0)) &amp; " " &amp; INDEX(PRODUCTORES!$C:$C, MATCH(C302, PRODUCTORES!$A:$A, 0)), IFERROR(TRIM(MID(C302, SEARCH(" - ", C302) + 3, 100)), "NO ENCONTRADO"))))</f>
        <v/>
      </c>
      <c r="E302" s="31" t="str">
        <f t="array" ref="E302">IF(C302="","",IFERROR(INDEX(PRODUCTORES!$D:$D, MATCH(C302, PRODUCTORES!$F:$F, 0)), IFERROR(INDEX(PRODUCTORES!$D:$D, MATCH(IF(ISNUMBER(SEARCH(" - ", C302)), LEFT(C302, SEARCH(" - ", C302) - 1), C302), PRODUCTORES!$A:$A, 0)), "-")))</f>
        <v/>
      </c>
      <c r="F302" s="29"/>
      <c r="G302" s="29"/>
      <c r="H302" s="29"/>
    </row>
    <row r="303" ht="15.75" customHeight="1">
      <c r="A303" s="3"/>
      <c r="B303" s="29"/>
      <c r="C303" s="4"/>
      <c r="D303" s="30" t="str">
        <f t="array" ref="D303">IF(C303="","",IFERROR(INDEX(PRODUCTORES!$B:$B, MATCH(C303, PRODUCTORES!$F:$F, 0)) &amp; " " &amp; INDEX(PRODUCTORES!$C:$C, MATCH(C303, PRODUCTORES!$F:$F, 0)), IFERROR(INDEX(PRODUCTORES!$B:$B, MATCH(C303, PRODUCTORES!$A:$A, 0)) &amp; " " &amp; INDEX(PRODUCTORES!$C:$C, MATCH(C303, PRODUCTORES!$A:$A, 0)), IFERROR(TRIM(MID(C303, SEARCH(" - ", C303) + 3, 100)), "NO ENCONTRADO"))))</f>
        <v/>
      </c>
      <c r="E303" s="31" t="str">
        <f t="array" ref="E303">IF(C303="","",IFERROR(INDEX(PRODUCTORES!$D:$D, MATCH(C303, PRODUCTORES!$F:$F, 0)), IFERROR(INDEX(PRODUCTORES!$D:$D, MATCH(IF(ISNUMBER(SEARCH(" - ", C303)), LEFT(C303, SEARCH(" - ", C303) - 1), C303), PRODUCTORES!$A:$A, 0)), "-")))</f>
        <v/>
      </c>
      <c r="F303" s="29"/>
      <c r="G303" s="29"/>
      <c r="H303" s="29"/>
    </row>
    <row r="304" ht="15.75" customHeight="1">
      <c r="A304" s="3"/>
      <c r="B304" s="29"/>
      <c r="C304" s="4"/>
      <c r="D304" s="30" t="str">
        <f t="array" ref="D304">IF(C304="","",IFERROR(INDEX(PRODUCTORES!$B:$B, MATCH(C304, PRODUCTORES!$F:$F, 0)) &amp; " " &amp; INDEX(PRODUCTORES!$C:$C, MATCH(C304, PRODUCTORES!$F:$F, 0)), IFERROR(INDEX(PRODUCTORES!$B:$B, MATCH(C304, PRODUCTORES!$A:$A, 0)) &amp; " " &amp; INDEX(PRODUCTORES!$C:$C, MATCH(C304, PRODUCTORES!$A:$A, 0)), IFERROR(TRIM(MID(C304, SEARCH(" - ", C304) + 3, 100)), "NO ENCONTRADO"))))</f>
        <v/>
      </c>
      <c r="E304" s="31" t="str">
        <f t="array" ref="E304">IF(C304="","",IFERROR(INDEX(PRODUCTORES!$D:$D, MATCH(C304, PRODUCTORES!$F:$F, 0)), IFERROR(INDEX(PRODUCTORES!$D:$D, MATCH(IF(ISNUMBER(SEARCH(" - ", C304)), LEFT(C304, SEARCH(" - ", C304) - 1), C304), PRODUCTORES!$A:$A, 0)), "-")))</f>
        <v/>
      </c>
      <c r="F304" s="29"/>
      <c r="G304" s="29"/>
      <c r="H304" s="29"/>
    </row>
    <row r="305" ht="15.75" customHeight="1">
      <c r="A305" s="3"/>
      <c r="B305" s="29"/>
      <c r="C305" s="4"/>
      <c r="D305" s="30" t="str">
        <f t="array" ref="D305">IF(C305="","",IFERROR(INDEX(PRODUCTORES!$B:$B, MATCH(C305, PRODUCTORES!$F:$F, 0)) &amp; " " &amp; INDEX(PRODUCTORES!$C:$C, MATCH(C305, PRODUCTORES!$F:$F, 0)), IFERROR(INDEX(PRODUCTORES!$B:$B, MATCH(C305, PRODUCTORES!$A:$A, 0)) &amp; " " &amp; INDEX(PRODUCTORES!$C:$C, MATCH(C305, PRODUCTORES!$A:$A, 0)), IFERROR(TRIM(MID(C305, SEARCH(" - ", C305) + 3, 100)), "NO ENCONTRADO"))))</f>
        <v/>
      </c>
      <c r="E305" s="31" t="str">
        <f t="array" ref="E305">IF(C305="","",IFERROR(INDEX(PRODUCTORES!$D:$D, MATCH(C305, PRODUCTORES!$F:$F, 0)), IFERROR(INDEX(PRODUCTORES!$D:$D, MATCH(IF(ISNUMBER(SEARCH(" - ", C305)), LEFT(C305, SEARCH(" - ", C305) - 1), C305), PRODUCTORES!$A:$A, 0)), "-")))</f>
        <v/>
      </c>
      <c r="F305" s="29"/>
      <c r="G305" s="29"/>
      <c r="H305" s="29"/>
    </row>
    <row r="306" ht="15.75" customHeight="1">
      <c r="A306" s="3"/>
      <c r="B306" s="29"/>
      <c r="C306" s="4"/>
      <c r="D306" s="30" t="str">
        <f t="array" ref="D306">IF(C306="","",IFERROR(INDEX(PRODUCTORES!$B:$B, MATCH(C306, PRODUCTORES!$F:$F, 0)) &amp; " " &amp; INDEX(PRODUCTORES!$C:$C, MATCH(C306, PRODUCTORES!$F:$F, 0)), IFERROR(INDEX(PRODUCTORES!$B:$B, MATCH(C306, PRODUCTORES!$A:$A, 0)) &amp; " " &amp; INDEX(PRODUCTORES!$C:$C, MATCH(C306, PRODUCTORES!$A:$A, 0)), IFERROR(TRIM(MID(C306, SEARCH(" - ", C306) + 3, 100)), "NO ENCONTRADO"))))</f>
        <v/>
      </c>
      <c r="E306" s="31" t="str">
        <f t="array" ref="E306">IF(C306="","",IFERROR(INDEX(PRODUCTORES!$D:$D, MATCH(C306, PRODUCTORES!$F:$F, 0)), IFERROR(INDEX(PRODUCTORES!$D:$D, MATCH(IF(ISNUMBER(SEARCH(" - ", C306)), LEFT(C306, SEARCH(" - ", C306) - 1), C306), PRODUCTORES!$A:$A, 0)), "-")))</f>
        <v/>
      </c>
      <c r="F306" s="29"/>
      <c r="G306" s="29"/>
      <c r="H306" s="29"/>
    </row>
    <row r="307" ht="15.75" customHeight="1">
      <c r="A307" s="3"/>
      <c r="B307" s="29"/>
      <c r="C307" s="4"/>
      <c r="D307" s="30" t="str">
        <f t="array" ref="D307">IF(C307="","",IFERROR(INDEX(PRODUCTORES!$B:$B, MATCH(C307, PRODUCTORES!$F:$F, 0)) &amp; " " &amp; INDEX(PRODUCTORES!$C:$C, MATCH(C307, PRODUCTORES!$F:$F, 0)), IFERROR(INDEX(PRODUCTORES!$B:$B, MATCH(C307, PRODUCTORES!$A:$A, 0)) &amp; " " &amp; INDEX(PRODUCTORES!$C:$C, MATCH(C307, PRODUCTORES!$A:$A, 0)), IFERROR(TRIM(MID(C307, SEARCH(" - ", C307) + 3, 100)), "NO ENCONTRADO"))))</f>
        <v/>
      </c>
      <c r="E307" s="31" t="str">
        <f t="array" ref="E307">IF(C307="","",IFERROR(INDEX(PRODUCTORES!$D:$D, MATCH(C307, PRODUCTORES!$F:$F, 0)), IFERROR(INDEX(PRODUCTORES!$D:$D, MATCH(IF(ISNUMBER(SEARCH(" - ", C307)), LEFT(C307, SEARCH(" - ", C307) - 1), C307), PRODUCTORES!$A:$A, 0)), "-")))</f>
        <v/>
      </c>
      <c r="F307" s="29"/>
      <c r="G307" s="29"/>
      <c r="H307" s="29"/>
    </row>
    <row r="308" ht="15.75" customHeight="1">
      <c r="A308" s="3"/>
      <c r="B308" s="29"/>
      <c r="C308" s="4"/>
      <c r="D308" s="30" t="str">
        <f t="array" ref="D308">IF(C308="","",IFERROR(INDEX(PRODUCTORES!$B:$B, MATCH(C308, PRODUCTORES!$F:$F, 0)) &amp; " " &amp; INDEX(PRODUCTORES!$C:$C, MATCH(C308, PRODUCTORES!$F:$F, 0)), IFERROR(INDEX(PRODUCTORES!$B:$B, MATCH(C308, PRODUCTORES!$A:$A, 0)) &amp; " " &amp; INDEX(PRODUCTORES!$C:$C, MATCH(C308, PRODUCTORES!$A:$A, 0)), IFERROR(TRIM(MID(C308, SEARCH(" - ", C308) + 3, 100)), "NO ENCONTRADO"))))</f>
        <v/>
      </c>
      <c r="E308" s="31" t="str">
        <f t="array" ref="E308">IF(C308="","",IFERROR(INDEX(PRODUCTORES!$D:$D, MATCH(C308, PRODUCTORES!$F:$F, 0)), IFERROR(INDEX(PRODUCTORES!$D:$D, MATCH(IF(ISNUMBER(SEARCH(" - ", C308)), LEFT(C308, SEARCH(" - ", C308) - 1), C308), PRODUCTORES!$A:$A, 0)), "-")))</f>
        <v/>
      </c>
      <c r="F308" s="29"/>
      <c r="G308" s="29"/>
      <c r="H308" s="29"/>
    </row>
    <row r="309" ht="15.75" customHeight="1">
      <c r="A309" s="3"/>
      <c r="B309" s="29"/>
      <c r="C309" s="4"/>
      <c r="D309" s="30" t="str">
        <f t="array" ref="D309">IF(C309="","",IFERROR(INDEX(PRODUCTORES!$B:$B, MATCH(C309, PRODUCTORES!$F:$F, 0)) &amp; " " &amp; INDEX(PRODUCTORES!$C:$C, MATCH(C309, PRODUCTORES!$F:$F, 0)), IFERROR(INDEX(PRODUCTORES!$B:$B, MATCH(C309, PRODUCTORES!$A:$A, 0)) &amp; " " &amp; INDEX(PRODUCTORES!$C:$C, MATCH(C309, PRODUCTORES!$A:$A, 0)), IFERROR(TRIM(MID(C309, SEARCH(" - ", C309) + 3, 100)), "NO ENCONTRADO"))))</f>
        <v/>
      </c>
      <c r="E309" s="31" t="str">
        <f t="array" ref="E309">IF(C309="","",IFERROR(INDEX(PRODUCTORES!$D:$D, MATCH(C309, PRODUCTORES!$F:$F, 0)), IFERROR(INDEX(PRODUCTORES!$D:$D, MATCH(IF(ISNUMBER(SEARCH(" - ", C309)), LEFT(C309, SEARCH(" - ", C309) - 1), C309), PRODUCTORES!$A:$A, 0)), "-")))</f>
        <v/>
      </c>
      <c r="F309" s="29"/>
      <c r="G309" s="29"/>
      <c r="H309" s="29"/>
    </row>
    <row r="310" ht="15.75" customHeight="1">
      <c r="A310" s="3"/>
      <c r="B310" s="29"/>
      <c r="C310" s="4"/>
      <c r="D310" s="30" t="str">
        <f t="array" ref="D310">IF(C310="","",IFERROR(INDEX(PRODUCTORES!$B:$B, MATCH(C310, PRODUCTORES!$F:$F, 0)) &amp; " " &amp; INDEX(PRODUCTORES!$C:$C, MATCH(C310, PRODUCTORES!$F:$F, 0)), IFERROR(INDEX(PRODUCTORES!$B:$B, MATCH(C310, PRODUCTORES!$A:$A, 0)) &amp; " " &amp; INDEX(PRODUCTORES!$C:$C, MATCH(C310, PRODUCTORES!$A:$A, 0)), IFERROR(TRIM(MID(C310, SEARCH(" - ", C310) + 3, 100)), "NO ENCONTRADO"))))</f>
        <v/>
      </c>
      <c r="E310" s="31" t="str">
        <f t="array" ref="E310">IF(C310="","",IFERROR(INDEX(PRODUCTORES!$D:$D, MATCH(C310, PRODUCTORES!$F:$F, 0)), IFERROR(INDEX(PRODUCTORES!$D:$D, MATCH(IF(ISNUMBER(SEARCH(" - ", C310)), LEFT(C310, SEARCH(" - ", C310) - 1), C310), PRODUCTORES!$A:$A, 0)), "-")))</f>
        <v/>
      </c>
      <c r="F310" s="29"/>
      <c r="G310" s="29"/>
      <c r="H310" s="29"/>
    </row>
    <row r="311" ht="15.75" customHeight="1">
      <c r="A311" s="3"/>
      <c r="B311" s="29"/>
      <c r="C311" s="4"/>
      <c r="D311" s="30" t="str">
        <f t="array" ref="D311">IF(C311="","",IFERROR(INDEX(PRODUCTORES!$B:$B, MATCH(C311, PRODUCTORES!$F:$F, 0)) &amp; " " &amp; INDEX(PRODUCTORES!$C:$C, MATCH(C311, PRODUCTORES!$F:$F, 0)), IFERROR(INDEX(PRODUCTORES!$B:$B, MATCH(C311, PRODUCTORES!$A:$A, 0)) &amp; " " &amp; INDEX(PRODUCTORES!$C:$C, MATCH(C311, PRODUCTORES!$A:$A, 0)), IFERROR(TRIM(MID(C311, SEARCH(" - ", C311) + 3, 100)), "NO ENCONTRADO"))))</f>
        <v/>
      </c>
      <c r="E311" s="31" t="str">
        <f t="array" ref="E311">IF(C311="","",IFERROR(INDEX(PRODUCTORES!$D:$D, MATCH(C311, PRODUCTORES!$F:$F, 0)), IFERROR(INDEX(PRODUCTORES!$D:$D, MATCH(IF(ISNUMBER(SEARCH(" - ", C311)), LEFT(C311, SEARCH(" - ", C311) - 1), C311), PRODUCTORES!$A:$A, 0)), "-")))</f>
        <v/>
      </c>
      <c r="F311" s="29"/>
      <c r="G311" s="29"/>
      <c r="H311" s="29"/>
    </row>
    <row r="312" ht="15.75" customHeight="1">
      <c r="A312" s="3"/>
      <c r="B312" s="29"/>
      <c r="C312" s="4"/>
      <c r="D312" s="30" t="str">
        <f t="array" ref="D312">IF(C312="","",IFERROR(INDEX(PRODUCTORES!$B:$B, MATCH(C312, PRODUCTORES!$F:$F, 0)) &amp; " " &amp; INDEX(PRODUCTORES!$C:$C, MATCH(C312, PRODUCTORES!$F:$F, 0)), IFERROR(INDEX(PRODUCTORES!$B:$B, MATCH(C312, PRODUCTORES!$A:$A, 0)) &amp; " " &amp; INDEX(PRODUCTORES!$C:$C, MATCH(C312, PRODUCTORES!$A:$A, 0)), IFERROR(TRIM(MID(C312, SEARCH(" - ", C312) + 3, 100)), "NO ENCONTRADO"))))</f>
        <v/>
      </c>
      <c r="E312" s="31" t="str">
        <f t="array" ref="E312">IF(C312="","",IFERROR(INDEX(PRODUCTORES!$D:$D, MATCH(C312, PRODUCTORES!$F:$F, 0)), IFERROR(INDEX(PRODUCTORES!$D:$D, MATCH(IF(ISNUMBER(SEARCH(" - ", C312)), LEFT(C312, SEARCH(" - ", C312) - 1), C312), PRODUCTORES!$A:$A, 0)), "-")))</f>
        <v/>
      </c>
      <c r="F312" s="29"/>
      <c r="G312" s="29"/>
      <c r="H312" s="29"/>
    </row>
    <row r="313" ht="15.75" customHeight="1">
      <c r="A313" s="3"/>
      <c r="B313" s="29"/>
      <c r="C313" s="4"/>
      <c r="D313" s="30" t="str">
        <f t="array" ref="D313">IF(C313="","",IFERROR(INDEX(PRODUCTORES!$B:$B, MATCH(C313, PRODUCTORES!$F:$F, 0)) &amp; " " &amp; INDEX(PRODUCTORES!$C:$C, MATCH(C313, PRODUCTORES!$F:$F, 0)), IFERROR(INDEX(PRODUCTORES!$B:$B, MATCH(C313, PRODUCTORES!$A:$A, 0)) &amp; " " &amp; INDEX(PRODUCTORES!$C:$C, MATCH(C313, PRODUCTORES!$A:$A, 0)), IFERROR(TRIM(MID(C313, SEARCH(" - ", C313) + 3, 100)), "NO ENCONTRADO"))))</f>
        <v/>
      </c>
      <c r="E313" s="31" t="str">
        <f t="array" ref="E313">IF(C313="","",IFERROR(INDEX(PRODUCTORES!$D:$D, MATCH(C313, PRODUCTORES!$F:$F, 0)), IFERROR(INDEX(PRODUCTORES!$D:$D, MATCH(IF(ISNUMBER(SEARCH(" - ", C313)), LEFT(C313, SEARCH(" - ", C313) - 1), C313), PRODUCTORES!$A:$A, 0)), "-")))</f>
        <v/>
      </c>
      <c r="F313" s="29"/>
      <c r="G313" s="29"/>
      <c r="H313" s="29"/>
    </row>
    <row r="314" ht="15.75" customHeight="1">
      <c r="A314" s="3"/>
      <c r="B314" s="29"/>
      <c r="C314" s="4"/>
      <c r="D314" s="30" t="str">
        <f t="array" ref="D314">IF(C314="","",IFERROR(INDEX(PRODUCTORES!$B:$B, MATCH(C314, PRODUCTORES!$F:$F, 0)) &amp; " " &amp; INDEX(PRODUCTORES!$C:$C, MATCH(C314, PRODUCTORES!$F:$F, 0)), IFERROR(INDEX(PRODUCTORES!$B:$B, MATCH(C314, PRODUCTORES!$A:$A, 0)) &amp; " " &amp; INDEX(PRODUCTORES!$C:$C, MATCH(C314, PRODUCTORES!$A:$A, 0)), IFERROR(TRIM(MID(C314, SEARCH(" - ", C314) + 3, 100)), "NO ENCONTRADO"))))</f>
        <v/>
      </c>
      <c r="E314" s="31" t="str">
        <f t="array" ref="E314">IF(C314="","",IFERROR(INDEX(PRODUCTORES!$D:$D, MATCH(C314, PRODUCTORES!$F:$F, 0)), IFERROR(INDEX(PRODUCTORES!$D:$D, MATCH(IF(ISNUMBER(SEARCH(" - ", C314)), LEFT(C314, SEARCH(" - ", C314) - 1), C314), PRODUCTORES!$A:$A, 0)), "-")))</f>
        <v/>
      </c>
      <c r="F314" s="29"/>
      <c r="G314" s="29"/>
      <c r="H314" s="29"/>
    </row>
    <row r="315" ht="15.75" customHeight="1">
      <c r="A315" s="3"/>
      <c r="B315" s="29"/>
      <c r="C315" s="4"/>
      <c r="D315" s="30" t="str">
        <f t="array" ref="D315">IF(C315="","",IFERROR(INDEX(PRODUCTORES!$B:$B, MATCH(C315, PRODUCTORES!$F:$F, 0)) &amp; " " &amp; INDEX(PRODUCTORES!$C:$C, MATCH(C315, PRODUCTORES!$F:$F, 0)), IFERROR(INDEX(PRODUCTORES!$B:$B, MATCH(C315, PRODUCTORES!$A:$A, 0)) &amp; " " &amp; INDEX(PRODUCTORES!$C:$C, MATCH(C315, PRODUCTORES!$A:$A, 0)), IFERROR(TRIM(MID(C315, SEARCH(" - ", C315) + 3, 100)), "NO ENCONTRADO"))))</f>
        <v/>
      </c>
      <c r="E315" s="31" t="str">
        <f t="array" ref="E315">IF(C315="","",IFERROR(INDEX(PRODUCTORES!$D:$D, MATCH(C315, PRODUCTORES!$F:$F, 0)), IFERROR(INDEX(PRODUCTORES!$D:$D, MATCH(IF(ISNUMBER(SEARCH(" - ", C315)), LEFT(C315, SEARCH(" - ", C315) - 1), C315), PRODUCTORES!$A:$A, 0)), "-")))</f>
        <v/>
      </c>
      <c r="F315" s="29"/>
      <c r="G315" s="29"/>
      <c r="H315" s="29"/>
    </row>
    <row r="316" ht="15.75" customHeight="1">
      <c r="A316" s="3"/>
      <c r="B316" s="29"/>
      <c r="C316" s="4"/>
      <c r="D316" s="30" t="str">
        <f t="array" ref="D316">IF(C316="","",IFERROR(INDEX(PRODUCTORES!$B:$B, MATCH(C316, PRODUCTORES!$F:$F, 0)) &amp; " " &amp; INDEX(PRODUCTORES!$C:$C, MATCH(C316, PRODUCTORES!$F:$F, 0)), IFERROR(INDEX(PRODUCTORES!$B:$B, MATCH(C316, PRODUCTORES!$A:$A, 0)) &amp; " " &amp; INDEX(PRODUCTORES!$C:$C, MATCH(C316, PRODUCTORES!$A:$A, 0)), IFERROR(TRIM(MID(C316, SEARCH(" - ", C316) + 3, 100)), "NO ENCONTRADO"))))</f>
        <v/>
      </c>
      <c r="E316" s="31" t="str">
        <f t="array" ref="E316">IF(C316="","",IFERROR(INDEX(PRODUCTORES!$D:$D, MATCH(C316, PRODUCTORES!$F:$F, 0)), IFERROR(INDEX(PRODUCTORES!$D:$D, MATCH(IF(ISNUMBER(SEARCH(" - ", C316)), LEFT(C316, SEARCH(" - ", C316) - 1), C316), PRODUCTORES!$A:$A, 0)), "-")))</f>
        <v/>
      </c>
      <c r="F316" s="29"/>
      <c r="G316" s="29"/>
      <c r="H316" s="29"/>
    </row>
    <row r="317" ht="15.75" customHeight="1">
      <c r="A317" s="3"/>
      <c r="B317" s="29"/>
      <c r="C317" s="4"/>
      <c r="D317" s="30" t="str">
        <f t="array" ref="D317">IF(C317="","",IFERROR(INDEX(PRODUCTORES!$B:$B, MATCH(C317, PRODUCTORES!$F:$F, 0)) &amp; " " &amp; INDEX(PRODUCTORES!$C:$C, MATCH(C317, PRODUCTORES!$F:$F, 0)), IFERROR(INDEX(PRODUCTORES!$B:$B, MATCH(C317, PRODUCTORES!$A:$A, 0)) &amp; " " &amp; INDEX(PRODUCTORES!$C:$C, MATCH(C317, PRODUCTORES!$A:$A, 0)), IFERROR(TRIM(MID(C317, SEARCH(" - ", C317) + 3, 100)), "NO ENCONTRADO"))))</f>
        <v/>
      </c>
      <c r="E317" s="31" t="str">
        <f t="array" ref="E317">IF(C317="","",IFERROR(INDEX(PRODUCTORES!$D:$D, MATCH(C317, PRODUCTORES!$F:$F, 0)), IFERROR(INDEX(PRODUCTORES!$D:$D, MATCH(IF(ISNUMBER(SEARCH(" - ", C317)), LEFT(C317, SEARCH(" - ", C317) - 1), C317), PRODUCTORES!$A:$A, 0)), "-")))</f>
        <v/>
      </c>
      <c r="F317" s="29"/>
      <c r="G317" s="29"/>
      <c r="H317" s="29"/>
    </row>
    <row r="318" ht="15.75" customHeight="1">
      <c r="A318" s="3"/>
      <c r="B318" s="29"/>
      <c r="C318" s="4"/>
      <c r="D318" s="30" t="str">
        <f t="array" ref="D318">IF(C318="","",IFERROR(INDEX(PRODUCTORES!$B:$B, MATCH(C318, PRODUCTORES!$F:$F, 0)) &amp; " " &amp; INDEX(PRODUCTORES!$C:$C, MATCH(C318, PRODUCTORES!$F:$F, 0)), IFERROR(INDEX(PRODUCTORES!$B:$B, MATCH(C318, PRODUCTORES!$A:$A, 0)) &amp; " " &amp; INDEX(PRODUCTORES!$C:$C, MATCH(C318, PRODUCTORES!$A:$A, 0)), IFERROR(TRIM(MID(C318, SEARCH(" - ", C318) + 3, 100)), "NO ENCONTRADO"))))</f>
        <v/>
      </c>
      <c r="E318" s="31" t="str">
        <f t="array" ref="E318">IF(C318="","",IFERROR(INDEX(PRODUCTORES!$D:$D, MATCH(C318, PRODUCTORES!$F:$F, 0)), IFERROR(INDEX(PRODUCTORES!$D:$D, MATCH(IF(ISNUMBER(SEARCH(" - ", C318)), LEFT(C318, SEARCH(" - ", C318) - 1), C318), PRODUCTORES!$A:$A, 0)), "-")))</f>
        <v/>
      </c>
      <c r="F318" s="29"/>
      <c r="G318" s="29"/>
      <c r="H318" s="29"/>
    </row>
    <row r="319" ht="15.75" customHeight="1">
      <c r="A319" s="3"/>
      <c r="B319" s="29"/>
      <c r="C319" s="4"/>
      <c r="D319" s="30" t="str">
        <f t="array" ref="D319">IF(C319="","",IFERROR(INDEX(PRODUCTORES!$B:$B, MATCH(C319, PRODUCTORES!$F:$F, 0)) &amp; " " &amp; INDEX(PRODUCTORES!$C:$C, MATCH(C319, PRODUCTORES!$F:$F, 0)), IFERROR(INDEX(PRODUCTORES!$B:$B, MATCH(C319, PRODUCTORES!$A:$A, 0)) &amp; " " &amp; INDEX(PRODUCTORES!$C:$C, MATCH(C319, PRODUCTORES!$A:$A, 0)), IFERROR(TRIM(MID(C319, SEARCH(" - ", C319) + 3, 100)), "NO ENCONTRADO"))))</f>
        <v/>
      </c>
      <c r="E319" s="31" t="str">
        <f t="array" ref="E319">IF(C319="","",IFERROR(INDEX(PRODUCTORES!$D:$D, MATCH(C319, PRODUCTORES!$F:$F, 0)), IFERROR(INDEX(PRODUCTORES!$D:$D, MATCH(IF(ISNUMBER(SEARCH(" - ", C319)), LEFT(C319, SEARCH(" - ", C319) - 1), C319), PRODUCTORES!$A:$A, 0)), "-")))</f>
        <v/>
      </c>
      <c r="F319" s="29"/>
      <c r="G319" s="29"/>
      <c r="H319" s="29"/>
    </row>
    <row r="320" ht="15.75" customHeight="1">
      <c r="A320" s="3"/>
      <c r="B320" s="29"/>
      <c r="C320" s="4"/>
      <c r="D320" s="30" t="str">
        <f t="array" ref="D320">IF(C320="","",IFERROR(INDEX(PRODUCTORES!$B:$B, MATCH(C320, PRODUCTORES!$F:$F, 0)) &amp; " " &amp; INDEX(PRODUCTORES!$C:$C, MATCH(C320, PRODUCTORES!$F:$F, 0)), IFERROR(INDEX(PRODUCTORES!$B:$B, MATCH(C320, PRODUCTORES!$A:$A, 0)) &amp; " " &amp; INDEX(PRODUCTORES!$C:$C, MATCH(C320, PRODUCTORES!$A:$A, 0)), IFERROR(TRIM(MID(C320, SEARCH(" - ", C320) + 3, 100)), "NO ENCONTRADO"))))</f>
        <v/>
      </c>
      <c r="E320" s="31" t="str">
        <f t="array" ref="E320">IF(C320="","",IFERROR(INDEX(PRODUCTORES!$D:$D, MATCH(C320, PRODUCTORES!$F:$F, 0)), IFERROR(INDEX(PRODUCTORES!$D:$D, MATCH(IF(ISNUMBER(SEARCH(" - ", C320)), LEFT(C320, SEARCH(" - ", C320) - 1), C320), PRODUCTORES!$A:$A, 0)), "-")))</f>
        <v/>
      </c>
      <c r="F320" s="29"/>
      <c r="G320" s="29"/>
      <c r="H320" s="29"/>
    </row>
    <row r="321" ht="15.75" customHeight="1">
      <c r="A321" s="3"/>
      <c r="B321" s="29"/>
      <c r="C321" s="4"/>
      <c r="D321" s="30" t="str">
        <f t="array" ref="D321">IF(C321="","",IFERROR(INDEX(PRODUCTORES!$B:$B, MATCH(C321, PRODUCTORES!$F:$F, 0)) &amp; " " &amp; INDEX(PRODUCTORES!$C:$C, MATCH(C321, PRODUCTORES!$F:$F, 0)), IFERROR(INDEX(PRODUCTORES!$B:$B, MATCH(C321, PRODUCTORES!$A:$A, 0)) &amp; " " &amp; INDEX(PRODUCTORES!$C:$C, MATCH(C321, PRODUCTORES!$A:$A, 0)), IFERROR(TRIM(MID(C321, SEARCH(" - ", C321) + 3, 100)), "NO ENCONTRADO"))))</f>
        <v/>
      </c>
      <c r="E321" s="31" t="str">
        <f t="array" ref="E321">IF(C321="","",IFERROR(INDEX(PRODUCTORES!$D:$D, MATCH(C321, PRODUCTORES!$F:$F, 0)), IFERROR(INDEX(PRODUCTORES!$D:$D, MATCH(IF(ISNUMBER(SEARCH(" - ", C321)), LEFT(C321, SEARCH(" - ", C321) - 1), C321), PRODUCTORES!$A:$A, 0)), "-")))</f>
        <v/>
      </c>
      <c r="F321" s="29"/>
      <c r="G321" s="29"/>
      <c r="H321" s="29"/>
    </row>
    <row r="322" ht="15.75" customHeight="1">
      <c r="A322" s="3"/>
      <c r="B322" s="29"/>
      <c r="C322" s="4"/>
      <c r="D322" s="30" t="str">
        <f t="array" ref="D322">IF(C322="","",IFERROR(INDEX(PRODUCTORES!$B:$B, MATCH(C322, PRODUCTORES!$F:$F, 0)) &amp; " " &amp; INDEX(PRODUCTORES!$C:$C, MATCH(C322, PRODUCTORES!$F:$F, 0)), IFERROR(INDEX(PRODUCTORES!$B:$B, MATCH(C322, PRODUCTORES!$A:$A, 0)) &amp; " " &amp; INDEX(PRODUCTORES!$C:$C, MATCH(C322, PRODUCTORES!$A:$A, 0)), IFERROR(TRIM(MID(C322, SEARCH(" - ", C322) + 3, 100)), "NO ENCONTRADO"))))</f>
        <v/>
      </c>
      <c r="E322" s="31" t="str">
        <f t="array" ref="E322">IF(C322="","",IFERROR(INDEX(PRODUCTORES!$D:$D, MATCH(C322, PRODUCTORES!$F:$F, 0)), IFERROR(INDEX(PRODUCTORES!$D:$D, MATCH(IF(ISNUMBER(SEARCH(" - ", C322)), LEFT(C322, SEARCH(" - ", C322) - 1), C322), PRODUCTORES!$A:$A, 0)), "-")))</f>
        <v/>
      </c>
      <c r="F322" s="29"/>
      <c r="G322" s="29"/>
      <c r="H322" s="29"/>
    </row>
    <row r="323" ht="15.75" customHeight="1">
      <c r="A323" s="3"/>
      <c r="B323" s="29"/>
      <c r="C323" s="4"/>
      <c r="D323" s="30" t="str">
        <f t="array" ref="D323">IF(C323="","",IFERROR(INDEX(PRODUCTORES!$B:$B, MATCH(C323, PRODUCTORES!$F:$F, 0)) &amp; " " &amp; INDEX(PRODUCTORES!$C:$C, MATCH(C323, PRODUCTORES!$F:$F, 0)), IFERROR(INDEX(PRODUCTORES!$B:$B, MATCH(C323, PRODUCTORES!$A:$A, 0)) &amp; " " &amp; INDEX(PRODUCTORES!$C:$C, MATCH(C323, PRODUCTORES!$A:$A, 0)), IFERROR(TRIM(MID(C323, SEARCH(" - ", C323) + 3, 100)), "NO ENCONTRADO"))))</f>
        <v/>
      </c>
      <c r="E323" s="31" t="str">
        <f t="array" ref="E323">IF(C323="","",IFERROR(INDEX(PRODUCTORES!$D:$D, MATCH(C323, PRODUCTORES!$F:$F, 0)), IFERROR(INDEX(PRODUCTORES!$D:$D, MATCH(IF(ISNUMBER(SEARCH(" - ", C323)), LEFT(C323, SEARCH(" - ", C323) - 1), C323), PRODUCTORES!$A:$A, 0)), "-")))</f>
        <v/>
      </c>
      <c r="F323" s="29"/>
      <c r="G323" s="29"/>
      <c r="H323" s="29"/>
    </row>
    <row r="324" ht="15.75" customHeight="1">
      <c r="A324" s="3"/>
      <c r="B324" s="29"/>
      <c r="C324" s="4"/>
      <c r="D324" s="30" t="str">
        <f t="array" ref="D324">IF(C324="","",IFERROR(INDEX(PRODUCTORES!$B:$B, MATCH(C324, PRODUCTORES!$F:$F, 0)) &amp; " " &amp; INDEX(PRODUCTORES!$C:$C, MATCH(C324, PRODUCTORES!$F:$F, 0)), IFERROR(INDEX(PRODUCTORES!$B:$B, MATCH(C324, PRODUCTORES!$A:$A, 0)) &amp; " " &amp; INDEX(PRODUCTORES!$C:$C, MATCH(C324, PRODUCTORES!$A:$A, 0)), IFERROR(TRIM(MID(C324, SEARCH(" - ", C324) + 3, 100)), "NO ENCONTRADO"))))</f>
        <v/>
      </c>
      <c r="E324" s="31" t="str">
        <f t="array" ref="E324">IF(C324="","",IFERROR(INDEX(PRODUCTORES!$D:$D, MATCH(C324, PRODUCTORES!$F:$F, 0)), IFERROR(INDEX(PRODUCTORES!$D:$D, MATCH(IF(ISNUMBER(SEARCH(" - ", C324)), LEFT(C324, SEARCH(" - ", C324) - 1), C324), PRODUCTORES!$A:$A, 0)), "-")))</f>
        <v/>
      </c>
      <c r="F324" s="29"/>
      <c r="G324" s="29"/>
      <c r="H324" s="29"/>
    </row>
    <row r="325" ht="15.75" customHeight="1">
      <c r="A325" s="3"/>
      <c r="B325" s="29"/>
      <c r="C325" s="4"/>
      <c r="D325" s="30" t="str">
        <f t="array" ref="D325">IF(C325="","",IFERROR(INDEX(PRODUCTORES!$B:$B, MATCH(C325, PRODUCTORES!$F:$F, 0)) &amp; " " &amp; INDEX(PRODUCTORES!$C:$C, MATCH(C325, PRODUCTORES!$F:$F, 0)), IFERROR(INDEX(PRODUCTORES!$B:$B, MATCH(C325, PRODUCTORES!$A:$A, 0)) &amp; " " &amp; INDEX(PRODUCTORES!$C:$C, MATCH(C325, PRODUCTORES!$A:$A, 0)), IFERROR(TRIM(MID(C325, SEARCH(" - ", C325) + 3, 100)), "NO ENCONTRADO"))))</f>
        <v/>
      </c>
      <c r="E325" s="31" t="str">
        <f t="array" ref="E325">IF(C325="","",IFERROR(INDEX(PRODUCTORES!$D:$D, MATCH(C325, PRODUCTORES!$F:$F, 0)), IFERROR(INDEX(PRODUCTORES!$D:$D, MATCH(IF(ISNUMBER(SEARCH(" - ", C325)), LEFT(C325, SEARCH(" - ", C325) - 1), C325), PRODUCTORES!$A:$A, 0)), "-")))</f>
        <v/>
      </c>
      <c r="F325" s="29"/>
      <c r="G325" s="29"/>
      <c r="H325" s="29"/>
    </row>
    <row r="326" ht="15.75" customHeight="1">
      <c r="A326" s="3"/>
      <c r="B326" s="29"/>
      <c r="C326" s="4"/>
      <c r="D326" s="30" t="str">
        <f t="array" ref="D326">IF(C326="","",IFERROR(INDEX(PRODUCTORES!$B:$B, MATCH(C326, PRODUCTORES!$F:$F, 0)) &amp; " " &amp; INDEX(PRODUCTORES!$C:$C, MATCH(C326, PRODUCTORES!$F:$F, 0)), IFERROR(INDEX(PRODUCTORES!$B:$B, MATCH(C326, PRODUCTORES!$A:$A, 0)) &amp; " " &amp; INDEX(PRODUCTORES!$C:$C, MATCH(C326, PRODUCTORES!$A:$A, 0)), IFERROR(TRIM(MID(C326, SEARCH(" - ", C326) + 3, 100)), "NO ENCONTRADO"))))</f>
        <v/>
      </c>
      <c r="E326" s="31" t="str">
        <f t="array" ref="E326">IF(C326="","",IFERROR(INDEX(PRODUCTORES!$D:$D, MATCH(C326, PRODUCTORES!$F:$F, 0)), IFERROR(INDEX(PRODUCTORES!$D:$D, MATCH(IF(ISNUMBER(SEARCH(" - ", C326)), LEFT(C326, SEARCH(" - ", C326) - 1), C326), PRODUCTORES!$A:$A, 0)), "-")))</f>
        <v/>
      </c>
      <c r="F326" s="29"/>
      <c r="G326" s="29"/>
      <c r="H326" s="29"/>
    </row>
    <row r="327" ht="15.75" customHeight="1">
      <c r="A327" s="3"/>
      <c r="B327" s="29"/>
      <c r="C327" s="4"/>
      <c r="D327" s="30" t="str">
        <f t="array" ref="D327">IF(C327="","",IFERROR(INDEX(PRODUCTORES!$B:$B, MATCH(C327, PRODUCTORES!$F:$F, 0)) &amp; " " &amp; INDEX(PRODUCTORES!$C:$C, MATCH(C327, PRODUCTORES!$F:$F, 0)), IFERROR(INDEX(PRODUCTORES!$B:$B, MATCH(C327, PRODUCTORES!$A:$A, 0)) &amp; " " &amp; INDEX(PRODUCTORES!$C:$C, MATCH(C327, PRODUCTORES!$A:$A, 0)), IFERROR(TRIM(MID(C327, SEARCH(" - ", C327) + 3, 100)), "NO ENCONTRADO"))))</f>
        <v/>
      </c>
      <c r="E327" s="31" t="str">
        <f t="array" ref="E327">IF(C327="","",IFERROR(INDEX(PRODUCTORES!$D:$D, MATCH(C327, PRODUCTORES!$F:$F, 0)), IFERROR(INDEX(PRODUCTORES!$D:$D, MATCH(IF(ISNUMBER(SEARCH(" - ", C327)), LEFT(C327, SEARCH(" - ", C327) - 1), C327), PRODUCTORES!$A:$A, 0)), "-")))</f>
        <v/>
      </c>
      <c r="F327" s="29"/>
      <c r="G327" s="29"/>
      <c r="H327" s="29"/>
    </row>
    <row r="328" ht="15.75" customHeight="1">
      <c r="A328" s="3"/>
      <c r="B328" s="29"/>
      <c r="C328" s="4"/>
      <c r="D328" s="30" t="str">
        <f t="array" ref="D328">IF(C328="","",IFERROR(INDEX(PRODUCTORES!$B:$B, MATCH(C328, PRODUCTORES!$F:$F, 0)) &amp; " " &amp; INDEX(PRODUCTORES!$C:$C, MATCH(C328, PRODUCTORES!$F:$F, 0)), IFERROR(INDEX(PRODUCTORES!$B:$B, MATCH(C328, PRODUCTORES!$A:$A, 0)) &amp; " " &amp; INDEX(PRODUCTORES!$C:$C, MATCH(C328, PRODUCTORES!$A:$A, 0)), IFERROR(TRIM(MID(C328, SEARCH(" - ", C328) + 3, 100)), "NO ENCONTRADO"))))</f>
        <v/>
      </c>
      <c r="E328" s="31" t="str">
        <f t="array" ref="E328">IF(C328="","",IFERROR(INDEX(PRODUCTORES!$D:$D, MATCH(C328, PRODUCTORES!$F:$F, 0)), IFERROR(INDEX(PRODUCTORES!$D:$D, MATCH(IF(ISNUMBER(SEARCH(" - ", C328)), LEFT(C328, SEARCH(" - ", C328) - 1), C328), PRODUCTORES!$A:$A, 0)), "-")))</f>
        <v/>
      </c>
      <c r="F328" s="29"/>
      <c r="G328" s="29"/>
      <c r="H328" s="29"/>
    </row>
    <row r="329" ht="15.75" customHeight="1">
      <c r="A329" s="3"/>
      <c r="B329" s="29"/>
      <c r="C329" s="4"/>
      <c r="D329" s="30" t="str">
        <f t="array" ref="D329">IF(C329="","",IFERROR(INDEX(PRODUCTORES!$B:$B, MATCH(C329, PRODUCTORES!$F:$F, 0)) &amp; " " &amp; INDEX(PRODUCTORES!$C:$C, MATCH(C329, PRODUCTORES!$F:$F, 0)), IFERROR(INDEX(PRODUCTORES!$B:$B, MATCH(C329, PRODUCTORES!$A:$A, 0)) &amp; " " &amp; INDEX(PRODUCTORES!$C:$C, MATCH(C329, PRODUCTORES!$A:$A, 0)), IFERROR(TRIM(MID(C329, SEARCH(" - ", C329) + 3, 100)), "NO ENCONTRADO"))))</f>
        <v/>
      </c>
      <c r="E329" s="31" t="str">
        <f t="array" ref="E329">IF(C329="","",IFERROR(INDEX(PRODUCTORES!$D:$D, MATCH(C329, PRODUCTORES!$F:$F, 0)), IFERROR(INDEX(PRODUCTORES!$D:$D, MATCH(IF(ISNUMBER(SEARCH(" - ", C329)), LEFT(C329, SEARCH(" - ", C329) - 1), C329), PRODUCTORES!$A:$A, 0)), "-")))</f>
        <v/>
      </c>
      <c r="F329" s="29"/>
      <c r="G329" s="29"/>
      <c r="H329" s="29"/>
    </row>
    <row r="330" ht="15.75" customHeight="1">
      <c r="A330" s="3"/>
      <c r="B330" s="29"/>
      <c r="C330" s="4"/>
      <c r="D330" s="30" t="str">
        <f t="array" ref="D330">IF(C330="","",IFERROR(INDEX(PRODUCTORES!$B:$B, MATCH(C330, PRODUCTORES!$F:$F, 0)) &amp; " " &amp; INDEX(PRODUCTORES!$C:$C, MATCH(C330, PRODUCTORES!$F:$F, 0)), IFERROR(INDEX(PRODUCTORES!$B:$B, MATCH(C330, PRODUCTORES!$A:$A, 0)) &amp; " " &amp; INDEX(PRODUCTORES!$C:$C, MATCH(C330, PRODUCTORES!$A:$A, 0)), IFERROR(TRIM(MID(C330, SEARCH(" - ", C330) + 3, 100)), "NO ENCONTRADO"))))</f>
        <v/>
      </c>
      <c r="E330" s="31" t="str">
        <f t="array" ref="E330">IF(C330="","",IFERROR(INDEX(PRODUCTORES!$D:$D, MATCH(C330, PRODUCTORES!$F:$F, 0)), IFERROR(INDEX(PRODUCTORES!$D:$D, MATCH(IF(ISNUMBER(SEARCH(" - ", C330)), LEFT(C330, SEARCH(" - ", C330) - 1), C330), PRODUCTORES!$A:$A, 0)), "-")))</f>
        <v/>
      </c>
      <c r="F330" s="29"/>
      <c r="G330" s="29"/>
      <c r="H330" s="29"/>
    </row>
    <row r="331" ht="15.75" customHeight="1">
      <c r="A331" s="3"/>
      <c r="B331" s="29"/>
      <c r="C331" s="4"/>
      <c r="D331" s="30" t="str">
        <f t="array" ref="D331">IF(C331="","",IFERROR(INDEX(PRODUCTORES!$B:$B, MATCH(C331, PRODUCTORES!$F:$F, 0)) &amp; " " &amp; INDEX(PRODUCTORES!$C:$C, MATCH(C331, PRODUCTORES!$F:$F, 0)), IFERROR(INDEX(PRODUCTORES!$B:$B, MATCH(C331, PRODUCTORES!$A:$A, 0)) &amp; " " &amp; INDEX(PRODUCTORES!$C:$C, MATCH(C331, PRODUCTORES!$A:$A, 0)), IFERROR(TRIM(MID(C331, SEARCH(" - ", C331) + 3, 100)), "NO ENCONTRADO"))))</f>
        <v/>
      </c>
      <c r="E331" s="31" t="str">
        <f t="array" ref="E331">IF(C331="","",IFERROR(INDEX(PRODUCTORES!$D:$D, MATCH(C331, PRODUCTORES!$F:$F, 0)), IFERROR(INDEX(PRODUCTORES!$D:$D, MATCH(IF(ISNUMBER(SEARCH(" - ", C331)), LEFT(C331, SEARCH(" - ", C331) - 1), C331), PRODUCTORES!$A:$A, 0)), "-")))</f>
        <v/>
      </c>
      <c r="F331" s="29"/>
      <c r="G331" s="29"/>
      <c r="H331" s="29"/>
    </row>
    <row r="332" ht="15.75" customHeight="1">
      <c r="A332" s="3"/>
      <c r="B332" s="29"/>
      <c r="C332" s="4"/>
      <c r="D332" s="30" t="str">
        <f t="array" ref="D332">IF(C332="","",IFERROR(INDEX(PRODUCTORES!$B:$B, MATCH(C332, PRODUCTORES!$F:$F, 0)) &amp; " " &amp; INDEX(PRODUCTORES!$C:$C, MATCH(C332, PRODUCTORES!$F:$F, 0)), IFERROR(INDEX(PRODUCTORES!$B:$B, MATCH(C332, PRODUCTORES!$A:$A, 0)) &amp; " " &amp; INDEX(PRODUCTORES!$C:$C, MATCH(C332, PRODUCTORES!$A:$A, 0)), IFERROR(TRIM(MID(C332, SEARCH(" - ", C332) + 3, 100)), "NO ENCONTRADO"))))</f>
        <v/>
      </c>
      <c r="E332" s="31" t="str">
        <f t="array" ref="E332">IF(C332="","",IFERROR(INDEX(PRODUCTORES!$D:$D, MATCH(C332, PRODUCTORES!$F:$F, 0)), IFERROR(INDEX(PRODUCTORES!$D:$D, MATCH(IF(ISNUMBER(SEARCH(" - ", C332)), LEFT(C332, SEARCH(" - ", C332) - 1), C332), PRODUCTORES!$A:$A, 0)), "-")))</f>
        <v/>
      </c>
      <c r="F332" s="29"/>
      <c r="G332" s="29"/>
      <c r="H332" s="29"/>
    </row>
    <row r="333" ht="15.75" customHeight="1">
      <c r="A333" s="3"/>
      <c r="B333" s="29"/>
      <c r="C333" s="4"/>
      <c r="D333" s="30" t="str">
        <f t="array" ref="D333">IF(C333="","",IFERROR(INDEX(PRODUCTORES!$B:$B, MATCH(C333, PRODUCTORES!$F:$F, 0)) &amp; " " &amp; INDEX(PRODUCTORES!$C:$C, MATCH(C333, PRODUCTORES!$F:$F, 0)), IFERROR(INDEX(PRODUCTORES!$B:$B, MATCH(C333, PRODUCTORES!$A:$A, 0)) &amp; " " &amp; INDEX(PRODUCTORES!$C:$C, MATCH(C333, PRODUCTORES!$A:$A, 0)), IFERROR(TRIM(MID(C333, SEARCH(" - ", C333) + 3, 100)), "NO ENCONTRADO"))))</f>
        <v/>
      </c>
      <c r="E333" s="31" t="str">
        <f t="array" ref="E333">IF(C333="","",IFERROR(INDEX(PRODUCTORES!$D:$D, MATCH(C333, PRODUCTORES!$F:$F, 0)), IFERROR(INDEX(PRODUCTORES!$D:$D, MATCH(IF(ISNUMBER(SEARCH(" - ", C333)), LEFT(C333, SEARCH(" - ", C333) - 1), C333), PRODUCTORES!$A:$A, 0)), "-")))</f>
        <v/>
      </c>
      <c r="F333" s="29"/>
      <c r="G333" s="29"/>
      <c r="H333" s="29"/>
    </row>
    <row r="334" ht="15.75" customHeight="1">
      <c r="A334" s="3"/>
      <c r="B334" s="29"/>
      <c r="C334" s="4"/>
      <c r="D334" s="30" t="str">
        <f t="array" ref="D334">IF(C334="","",IFERROR(INDEX(PRODUCTORES!$B:$B, MATCH(C334, PRODUCTORES!$F:$F, 0)) &amp; " " &amp; INDEX(PRODUCTORES!$C:$C, MATCH(C334, PRODUCTORES!$F:$F, 0)), IFERROR(INDEX(PRODUCTORES!$B:$B, MATCH(C334, PRODUCTORES!$A:$A, 0)) &amp; " " &amp; INDEX(PRODUCTORES!$C:$C, MATCH(C334, PRODUCTORES!$A:$A, 0)), IFERROR(TRIM(MID(C334, SEARCH(" - ", C334) + 3, 100)), "NO ENCONTRADO"))))</f>
        <v/>
      </c>
      <c r="E334" s="31" t="str">
        <f t="array" ref="E334">IF(C334="","",IFERROR(INDEX(PRODUCTORES!$D:$D, MATCH(C334, PRODUCTORES!$F:$F, 0)), IFERROR(INDEX(PRODUCTORES!$D:$D, MATCH(IF(ISNUMBER(SEARCH(" - ", C334)), LEFT(C334, SEARCH(" - ", C334) - 1), C334), PRODUCTORES!$A:$A, 0)), "-")))</f>
        <v/>
      </c>
      <c r="F334" s="29"/>
      <c r="G334" s="29"/>
      <c r="H334" s="29"/>
    </row>
    <row r="335" ht="15.75" customHeight="1">
      <c r="A335" s="3"/>
      <c r="B335" s="29"/>
      <c r="C335" s="4"/>
      <c r="D335" s="30" t="str">
        <f t="array" ref="D335">IF(C335="","",IFERROR(INDEX(PRODUCTORES!$B:$B, MATCH(C335, PRODUCTORES!$F:$F, 0)) &amp; " " &amp; INDEX(PRODUCTORES!$C:$C, MATCH(C335, PRODUCTORES!$F:$F, 0)), IFERROR(INDEX(PRODUCTORES!$B:$B, MATCH(C335, PRODUCTORES!$A:$A, 0)) &amp; " " &amp; INDEX(PRODUCTORES!$C:$C, MATCH(C335, PRODUCTORES!$A:$A, 0)), IFERROR(TRIM(MID(C335, SEARCH(" - ", C335) + 3, 100)), "NO ENCONTRADO"))))</f>
        <v/>
      </c>
      <c r="E335" s="31" t="str">
        <f t="array" ref="E335">IF(C335="","",IFERROR(INDEX(PRODUCTORES!$D:$D, MATCH(C335, PRODUCTORES!$F:$F, 0)), IFERROR(INDEX(PRODUCTORES!$D:$D, MATCH(IF(ISNUMBER(SEARCH(" - ", C335)), LEFT(C335, SEARCH(" - ", C335) - 1), C335), PRODUCTORES!$A:$A, 0)), "-")))</f>
        <v/>
      </c>
      <c r="F335" s="29"/>
      <c r="G335" s="29"/>
      <c r="H335" s="29"/>
    </row>
    <row r="336" ht="15.75" customHeight="1">
      <c r="A336" s="3"/>
      <c r="B336" s="29"/>
      <c r="C336" s="4"/>
      <c r="D336" s="30" t="str">
        <f t="array" ref="D336">IF(C336="","",IFERROR(INDEX(PRODUCTORES!$B:$B, MATCH(C336, PRODUCTORES!$F:$F, 0)) &amp; " " &amp; INDEX(PRODUCTORES!$C:$C, MATCH(C336, PRODUCTORES!$F:$F, 0)), IFERROR(INDEX(PRODUCTORES!$B:$B, MATCH(C336, PRODUCTORES!$A:$A, 0)) &amp; " " &amp; INDEX(PRODUCTORES!$C:$C, MATCH(C336, PRODUCTORES!$A:$A, 0)), IFERROR(TRIM(MID(C336, SEARCH(" - ", C336) + 3, 100)), "NO ENCONTRADO"))))</f>
        <v/>
      </c>
      <c r="E336" s="31" t="str">
        <f t="array" ref="E336">IF(C336="","",IFERROR(INDEX(PRODUCTORES!$D:$D, MATCH(C336, PRODUCTORES!$F:$F, 0)), IFERROR(INDEX(PRODUCTORES!$D:$D, MATCH(IF(ISNUMBER(SEARCH(" - ", C336)), LEFT(C336, SEARCH(" - ", C336) - 1), C336), PRODUCTORES!$A:$A, 0)), "-")))</f>
        <v/>
      </c>
      <c r="F336" s="29"/>
      <c r="G336" s="29"/>
      <c r="H336" s="29"/>
    </row>
    <row r="337" ht="15.75" customHeight="1">
      <c r="A337" s="3"/>
      <c r="B337" s="29"/>
      <c r="C337" s="4"/>
      <c r="D337" s="30" t="str">
        <f t="array" ref="D337">IF(C337="","",IFERROR(INDEX(PRODUCTORES!$B:$B, MATCH(C337, PRODUCTORES!$F:$F, 0)) &amp; " " &amp; INDEX(PRODUCTORES!$C:$C, MATCH(C337, PRODUCTORES!$F:$F, 0)), IFERROR(INDEX(PRODUCTORES!$B:$B, MATCH(C337, PRODUCTORES!$A:$A, 0)) &amp; " " &amp; INDEX(PRODUCTORES!$C:$C, MATCH(C337, PRODUCTORES!$A:$A, 0)), IFERROR(TRIM(MID(C337, SEARCH(" - ", C337) + 3, 100)), "NO ENCONTRADO"))))</f>
        <v/>
      </c>
      <c r="E337" s="31" t="str">
        <f t="array" ref="E337">IF(C337="","",IFERROR(INDEX(PRODUCTORES!$D:$D, MATCH(C337, PRODUCTORES!$F:$F, 0)), IFERROR(INDEX(PRODUCTORES!$D:$D, MATCH(IF(ISNUMBER(SEARCH(" - ", C337)), LEFT(C337, SEARCH(" - ", C337) - 1), C337), PRODUCTORES!$A:$A, 0)), "-")))</f>
        <v/>
      </c>
      <c r="F337" s="29"/>
      <c r="G337" s="29"/>
      <c r="H337" s="29"/>
    </row>
    <row r="338" ht="15.75" customHeight="1">
      <c r="A338" s="3"/>
      <c r="B338" s="29"/>
      <c r="C338" s="4"/>
      <c r="D338" s="30" t="str">
        <f t="array" ref="D338">IF(C338="","",IFERROR(INDEX(PRODUCTORES!$B:$B, MATCH(C338, PRODUCTORES!$F:$F, 0)) &amp; " " &amp; INDEX(PRODUCTORES!$C:$C, MATCH(C338, PRODUCTORES!$F:$F, 0)), IFERROR(INDEX(PRODUCTORES!$B:$B, MATCH(C338, PRODUCTORES!$A:$A, 0)) &amp; " " &amp; INDEX(PRODUCTORES!$C:$C, MATCH(C338, PRODUCTORES!$A:$A, 0)), IFERROR(TRIM(MID(C338, SEARCH(" - ", C338) + 3, 100)), "NO ENCONTRADO"))))</f>
        <v/>
      </c>
      <c r="E338" s="31" t="str">
        <f t="array" ref="E338">IF(C338="","",IFERROR(INDEX(PRODUCTORES!$D:$D, MATCH(C338, PRODUCTORES!$F:$F, 0)), IFERROR(INDEX(PRODUCTORES!$D:$D, MATCH(IF(ISNUMBER(SEARCH(" - ", C338)), LEFT(C338, SEARCH(" - ", C338) - 1), C338), PRODUCTORES!$A:$A, 0)), "-")))</f>
        <v/>
      </c>
      <c r="F338" s="29"/>
      <c r="G338" s="29"/>
      <c r="H338" s="29"/>
    </row>
    <row r="339" ht="15.75" customHeight="1">
      <c r="A339" s="3"/>
      <c r="B339" s="29"/>
      <c r="C339" s="4"/>
      <c r="D339" s="30" t="str">
        <f t="array" ref="D339">IF(C339="","",IFERROR(INDEX(PRODUCTORES!$B:$B, MATCH(C339, PRODUCTORES!$F:$F, 0)) &amp; " " &amp; INDEX(PRODUCTORES!$C:$C, MATCH(C339, PRODUCTORES!$F:$F, 0)), IFERROR(INDEX(PRODUCTORES!$B:$B, MATCH(C339, PRODUCTORES!$A:$A, 0)) &amp; " " &amp; INDEX(PRODUCTORES!$C:$C, MATCH(C339, PRODUCTORES!$A:$A, 0)), IFERROR(TRIM(MID(C339, SEARCH(" - ", C339) + 3, 100)), "NO ENCONTRADO"))))</f>
        <v/>
      </c>
      <c r="E339" s="31" t="str">
        <f t="array" ref="E339">IF(C339="","",IFERROR(INDEX(PRODUCTORES!$D:$D, MATCH(C339, PRODUCTORES!$F:$F, 0)), IFERROR(INDEX(PRODUCTORES!$D:$D, MATCH(IF(ISNUMBER(SEARCH(" - ", C339)), LEFT(C339, SEARCH(" - ", C339) - 1), C339), PRODUCTORES!$A:$A, 0)), "-")))</f>
        <v/>
      </c>
      <c r="F339" s="29"/>
      <c r="G339" s="29"/>
      <c r="H339" s="29"/>
    </row>
    <row r="340" ht="15.75" customHeight="1">
      <c r="A340" s="3"/>
      <c r="B340" s="29"/>
      <c r="C340" s="4"/>
      <c r="D340" s="30" t="str">
        <f t="array" ref="D340">IF(C340="","",IFERROR(INDEX(PRODUCTORES!$B:$B, MATCH(C340, PRODUCTORES!$F:$F, 0)) &amp; " " &amp; INDEX(PRODUCTORES!$C:$C, MATCH(C340, PRODUCTORES!$F:$F, 0)), IFERROR(INDEX(PRODUCTORES!$B:$B, MATCH(C340, PRODUCTORES!$A:$A, 0)) &amp; " " &amp; INDEX(PRODUCTORES!$C:$C, MATCH(C340, PRODUCTORES!$A:$A, 0)), IFERROR(TRIM(MID(C340, SEARCH(" - ", C340) + 3, 100)), "NO ENCONTRADO"))))</f>
        <v/>
      </c>
      <c r="E340" s="31" t="str">
        <f t="array" ref="E340">IF(C340="","",IFERROR(INDEX(PRODUCTORES!$D:$D, MATCH(C340, PRODUCTORES!$F:$F, 0)), IFERROR(INDEX(PRODUCTORES!$D:$D, MATCH(IF(ISNUMBER(SEARCH(" - ", C340)), LEFT(C340, SEARCH(" - ", C340) - 1), C340), PRODUCTORES!$A:$A, 0)), "-")))</f>
        <v/>
      </c>
      <c r="F340" s="29"/>
      <c r="G340" s="29"/>
      <c r="H340" s="29"/>
    </row>
    <row r="341" ht="15.75" customHeight="1">
      <c r="A341" s="3"/>
      <c r="B341" s="29"/>
      <c r="C341" s="4"/>
      <c r="D341" s="30" t="str">
        <f t="array" ref="D341">IF(C341="","",IFERROR(INDEX(PRODUCTORES!$B:$B, MATCH(C341, PRODUCTORES!$F:$F, 0)) &amp; " " &amp; INDEX(PRODUCTORES!$C:$C, MATCH(C341, PRODUCTORES!$F:$F, 0)), IFERROR(INDEX(PRODUCTORES!$B:$B, MATCH(C341, PRODUCTORES!$A:$A, 0)) &amp; " " &amp; INDEX(PRODUCTORES!$C:$C, MATCH(C341, PRODUCTORES!$A:$A, 0)), IFERROR(TRIM(MID(C341, SEARCH(" - ", C341) + 3, 100)), "NO ENCONTRADO"))))</f>
        <v/>
      </c>
      <c r="E341" s="31" t="str">
        <f t="array" ref="E341">IF(C341="","",IFERROR(INDEX(PRODUCTORES!$D:$D, MATCH(C341, PRODUCTORES!$F:$F, 0)), IFERROR(INDEX(PRODUCTORES!$D:$D, MATCH(IF(ISNUMBER(SEARCH(" - ", C341)), LEFT(C341, SEARCH(" - ", C341) - 1), C341), PRODUCTORES!$A:$A, 0)), "-")))</f>
        <v/>
      </c>
      <c r="F341" s="29"/>
      <c r="G341" s="29"/>
      <c r="H341" s="29"/>
    </row>
    <row r="342" ht="15.75" customHeight="1">
      <c r="A342" s="3"/>
      <c r="B342" s="29"/>
      <c r="C342" s="4"/>
      <c r="D342" s="30" t="str">
        <f t="array" ref="D342">IF(C342="","",IFERROR(INDEX(PRODUCTORES!$B:$B, MATCH(C342, PRODUCTORES!$F:$F, 0)) &amp; " " &amp; INDEX(PRODUCTORES!$C:$C, MATCH(C342, PRODUCTORES!$F:$F, 0)), IFERROR(INDEX(PRODUCTORES!$B:$B, MATCH(C342, PRODUCTORES!$A:$A, 0)) &amp; " " &amp; INDEX(PRODUCTORES!$C:$C, MATCH(C342, PRODUCTORES!$A:$A, 0)), IFERROR(TRIM(MID(C342, SEARCH(" - ", C342) + 3, 100)), "NO ENCONTRADO"))))</f>
        <v/>
      </c>
      <c r="E342" s="31" t="str">
        <f t="array" ref="E342">IF(C342="","",IFERROR(INDEX(PRODUCTORES!$D:$D, MATCH(C342, PRODUCTORES!$F:$F, 0)), IFERROR(INDEX(PRODUCTORES!$D:$D, MATCH(IF(ISNUMBER(SEARCH(" - ", C342)), LEFT(C342, SEARCH(" - ", C342) - 1), C342), PRODUCTORES!$A:$A, 0)), "-")))</f>
        <v/>
      </c>
      <c r="F342" s="29"/>
      <c r="G342" s="29"/>
      <c r="H342" s="29"/>
    </row>
    <row r="343" ht="15.75" customHeight="1">
      <c r="A343" s="3"/>
      <c r="B343" s="29"/>
      <c r="C343" s="4"/>
      <c r="D343" s="30" t="str">
        <f t="array" ref="D343">IF(C343="","",IFERROR(INDEX(PRODUCTORES!$B:$B, MATCH(C343, PRODUCTORES!$F:$F, 0)) &amp; " " &amp; INDEX(PRODUCTORES!$C:$C, MATCH(C343, PRODUCTORES!$F:$F, 0)), IFERROR(INDEX(PRODUCTORES!$B:$B, MATCH(C343, PRODUCTORES!$A:$A, 0)) &amp; " " &amp; INDEX(PRODUCTORES!$C:$C, MATCH(C343, PRODUCTORES!$A:$A, 0)), IFERROR(TRIM(MID(C343, SEARCH(" - ", C343) + 3, 100)), "NO ENCONTRADO"))))</f>
        <v/>
      </c>
      <c r="E343" s="31" t="str">
        <f t="array" ref="E343">IF(C343="","",IFERROR(INDEX(PRODUCTORES!$D:$D, MATCH(C343, PRODUCTORES!$F:$F, 0)), IFERROR(INDEX(PRODUCTORES!$D:$D, MATCH(IF(ISNUMBER(SEARCH(" - ", C343)), LEFT(C343, SEARCH(" - ", C343) - 1), C343), PRODUCTORES!$A:$A, 0)), "-")))</f>
        <v/>
      </c>
      <c r="F343" s="29"/>
      <c r="G343" s="29"/>
      <c r="H343" s="29"/>
    </row>
    <row r="344" ht="15.75" customHeight="1">
      <c r="A344" s="3"/>
      <c r="B344" s="29"/>
      <c r="C344" s="4"/>
      <c r="D344" s="30" t="str">
        <f t="array" ref="D344">IF(C344="","",IFERROR(INDEX(PRODUCTORES!$B:$B, MATCH(C344, PRODUCTORES!$F:$F, 0)) &amp; " " &amp; INDEX(PRODUCTORES!$C:$C, MATCH(C344, PRODUCTORES!$F:$F, 0)), IFERROR(INDEX(PRODUCTORES!$B:$B, MATCH(C344, PRODUCTORES!$A:$A, 0)) &amp; " " &amp; INDEX(PRODUCTORES!$C:$C, MATCH(C344, PRODUCTORES!$A:$A, 0)), IFERROR(TRIM(MID(C344, SEARCH(" - ", C344) + 3, 100)), "NO ENCONTRADO"))))</f>
        <v/>
      </c>
      <c r="E344" s="31" t="str">
        <f t="array" ref="E344">IF(C344="","",IFERROR(INDEX(PRODUCTORES!$D:$D, MATCH(C344, PRODUCTORES!$F:$F, 0)), IFERROR(INDEX(PRODUCTORES!$D:$D, MATCH(IF(ISNUMBER(SEARCH(" - ", C344)), LEFT(C344, SEARCH(" - ", C344) - 1), C344), PRODUCTORES!$A:$A, 0)), "-")))</f>
        <v/>
      </c>
      <c r="F344" s="29"/>
      <c r="G344" s="29"/>
      <c r="H344" s="29"/>
    </row>
    <row r="345" ht="15.75" customHeight="1">
      <c r="A345" s="3"/>
      <c r="B345" s="29"/>
      <c r="C345" s="4"/>
      <c r="D345" s="30" t="str">
        <f t="array" ref="D345">IF(C345="","",IFERROR(INDEX(PRODUCTORES!$B:$B, MATCH(C345, PRODUCTORES!$F:$F, 0)) &amp; " " &amp; INDEX(PRODUCTORES!$C:$C, MATCH(C345, PRODUCTORES!$F:$F, 0)), IFERROR(INDEX(PRODUCTORES!$B:$B, MATCH(C345, PRODUCTORES!$A:$A, 0)) &amp; " " &amp; INDEX(PRODUCTORES!$C:$C, MATCH(C345, PRODUCTORES!$A:$A, 0)), IFERROR(TRIM(MID(C345, SEARCH(" - ", C345) + 3, 100)), "NO ENCONTRADO"))))</f>
        <v/>
      </c>
      <c r="E345" s="31" t="str">
        <f t="array" ref="E345">IF(C345="","",IFERROR(INDEX(PRODUCTORES!$D:$D, MATCH(C345, PRODUCTORES!$F:$F, 0)), IFERROR(INDEX(PRODUCTORES!$D:$D, MATCH(IF(ISNUMBER(SEARCH(" - ", C345)), LEFT(C345, SEARCH(" - ", C345) - 1), C345), PRODUCTORES!$A:$A, 0)), "-")))</f>
        <v/>
      </c>
      <c r="F345" s="29"/>
      <c r="G345" s="29"/>
      <c r="H345" s="29"/>
    </row>
    <row r="346" ht="15.75" customHeight="1">
      <c r="A346" s="3"/>
      <c r="B346" s="29"/>
      <c r="C346" s="4"/>
      <c r="D346" s="30" t="str">
        <f t="array" ref="D346">IF(C346="","",IFERROR(INDEX(PRODUCTORES!$B:$B, MATCH(C346, PRODUCTORES!$F:$F, 0)) &amp; " " &amp; INDEX(PRODUCTORES!$C:$C, MATCH(C346, PRODUCTORES!$F:$F, 0)), IFERROR(INDEX(PRODUCTORES!$B:$B, MATCH(C346, PRODUCTORES!$A:$A, 0)) &amp; " " &amp; INDEX(PRODUCTORES!$C:$C, MATCH(C346, PRODUCTORES!$A:$A, 0)), IFERROR(TRIM(MID(C346, SEARCH(" - ", C346) + 3, 100)), "NO ENCONTRADO"))))</f>
        <v/>
      </c>
      <c r="E346" s="31" t="str">
        <f t="array" ref="E346">IF(C346="","",IFERROR(INDEX(PRODUCTORES!$D:$D, MATCH(C346, PRODUCTORES!$F:$F, 0)), IFERROR(INDEX(PRODUCTORES!$D:$D, MATCH(IF(ISNUMBER(SEARCH(" - ", C346)), LEFT(C346, SEARCH(" - ", C346) - 1), C346), PRODUCTORES!$A:$A, 0)), "-")))</f>
        <v/>
      </c>
      <c r="F346" s="29"/>
      <c r="G346" s="29"/>
      <c r="H346" s="29"/>
    </row>
    <row r="347" ht="15.75" customHeight="1">
      <c r="A347" s="3"/>
      <c r="B347" s="29"/>
      <c r="C347" s="4"/>
      <c r="D347" s="30" t="str">
        <f t="array" ref="D347">IF(C347="","",IFERROR(INDEX(PRODUCTORES!$B:$B, MATCH(C347, PRODUCTORES!$F:$F, 0)) &amp; " " &amp; INDEX(PRODUCTORES!$C:$C, MATCH(C347, PRODUCTORES!$F:$F, 0)), IFERROR(INDEX(PRODUCTORES!$B:$B, MATCH(C347, PRODUCTORES!$A:$A, 0)) &amp; " " &amp; INDEX(PRODUCTORES!$C:$C, MATCH(C347, PRODUCTORES!$A:$A, 0)), IFERROR(TRIM(MID(C347, SEARCH(" - ", C347) + 3, 100)), "NO ENCONTRADO"))))</f>
        <v/>
      </c>
      <c r="E347" s="31" t="str">
        <f t="array" ref="E347">IF(C347="","",IFERROR(INDEX(PRODUCTORES!$D:$D, MATCH(C347, PRODUCTORES!$F:$F, 0)), IFERROR(INDEX(PRODUCTORES!$D:$D, MATCH(IF(ISNUMBER(SEARCH(" - ", C347)), LEFT(C347, SEARCH(" - ", C347) - 1), C347), PRODUCTORES!$A:$A, 0)), "-")))</f>
        <v/>
      </c>
      <c r="F347" s="29"/>
      <c r="G347" s="29"/>
      <c r="H347" s="29"/>
    </row>
    <row r="348" ht="15.75" customHeight="1">
      <c r="A348" s="3"/>
      <c r="B348" s="29"/>
      <c r="C348" s="4"/>
      <c r="D348" s="30" t="str">
        <f t="array" ref="D348">IF(C348="","",IFERROR(INDEX(PRODUCTORES!$B:$B, MATCH(C348, PRODUCTORES!$F:$F, 0)) &amp; " " &amp; INDEX(PRODUCTORES!$C:$C, MATCH(C348, PRODUCTORES!$F:$F, 0)), IFERROR(INDEX(PRODUCTORES!$B:$B, MATCH(C348, PRODUCTORES!$A:$A, 0)) &amp; " " &amp; INDEX(PRODUCTORES!$C:$C, MATCH(C348, PRODUCTORES!$A:$A, 0)), IFERROR(TRIM(MID(C348, SEARCH(" - ", C348) + 3, 100)), "NO ENCONTRADO"))))</f>
        <v/>
      </c>
      <c r="E348" s="31" t="str">
        <f t="array" ref="E348">IF(C348="","",IFERROR(INDEX(PRODUCTORES!$D:$D, MATCH(C348, PRODUCTORES!$F:$F, 0)), IFERROR(INDEX(PRODUCTORES!$D:$D, MATCH(IF(ISNUMBER(SEARCH(" - ", C348)), LEFT(C348, SEARCH(" - ", C348) - 1), C348), PRODUCTORES!$A:$A, 0)), "-")))</f>
        <v/>
      </c>
      <c r="F348" s="29"/>
      <c r="G348" s="29"/>
      <c r="H348" s="29"/>
    </row>
    <row r="349" ht="15.75" customHeight="1">
      <c r="A349" s="3"/>
      <c r="B349" s="29"/>
      <c r="C349" s="4"/>
      <c r="D349" s="30" t="str">
        <f t="array" ref="D349">IF(C349="","",IFERROR(INDEX(PRODUCTORES!$B:$B, MATCH(C349, PRODUCTORES!$F:$F, 0)) &amp; " " &amp; INDEX(PRODUCTORES!$C:$C, MATCH(C349, PRODUCTORES!$F:$F, 0)), IFERROR(INDEX(PRODUCTORES!$B:$B, MATCH(C349, PRODUCTORES!$A:$A, 0)) &amp; " " &amp; INDEX(PRODUCTORES!$C:$C, MATCH(C349, PRODUCTORES!$A:$A, 0)), IFERROR(TRIM(MID(C349, SEARCH(" - ", C349) + 3, 100)), "NO ENCONTRADO"))))</f>
        <v/>
      </c>
      <c r="E349" s="31" t="str">
        <f t="array" ref="E349">IF(C349="","",IFERROR(INDEX(PRODUCTORES!$D:$D, MATCH(C349, PRODUCTORES!$F:$F, 0)), IFERROR(INDEX(PRODUCTORES!$D:$D, MATCH(IF(ISNUMBER(SEARCH(" - ", C349)), LEFT(C349, SEARCH(" - ", C349) - 1), C349), PRODUCTORES!$A:$A, 0)), "-")))</f>
        <v/>
      </c>
      <c r="F349" s="29"/>
      <c r="G349" s="29"/>
      <c r="H349" s="29"/>
    </row>
    <row r="350" ht="15.75" customHeight="1">
      <c r="A350" s="3"/>
      <c r="B350" s="29"/>
      <c r="C350" s="4"/>
      <c r="D350" s="30" t="str">
        <f t="array" ref="D350">IF(C350="","",IFERROR(INDEX(PRODUCTORES!$B:$B, MATCH(C350, PRODUCTORES!$F:$F, 0)) &amp; " " &amp; INDEX(PRODUCTORES!$C:$C, MATCH(C350, PRODUCTORES!$F:$F, 0)), IFERROR(INDEX(PRODUCTORES!$B:$B, MATCH(C350, PRODUCTORES!$A:$A, 0)) &amp; " " &amp; INDEX(PRODUCTORES!$C:$C, MATCH(C350, PRODUCTORES!$A:$A, 0)), IFERROR(TRIM(MID(C350, SEARCH(" - ", C350) + 3, 100)), "NO ENCONTRADO"))))</f>
        <v/>
      </c>
      <c r="E350" s="31" t="str">
        <f t="array" ref="E350">IF(C350="","",IFERROR(INDEX(PRODUCTORES!$D:$D, MATCH(C350, PRODUCTORES!$F:$F, 0)), IFERROR(INDEX(PRODUCTORES!$D:$D, MATCH(IF(ISNUMBER(SEARCH(" - ", C350)), LEFT(C350, SEARCH(" - ", C350) - 1), C350), PRODUCTORES!$A:$A, 0)), "-")))</f>
        <v/>
      </c>
      <c r="F350" s="29"/>
      <c r="G350" s="29"/>
      <c r="H350" s="29"/>
    </row>
    <row r="351" ht="15.75" customHeight="1">
      <c r="A351" s="3"/>
      <c r="B351" s="29"/>
      <c r="C351" s="4"/>
      <c r="D351" s="30" t="str">
        <f t="array" ref="D351">IF(C351="","",IFERROR(INDEX(PRODUCTORES!$B:$B, MATCH(C351, PRODUCTORES!$F:$F, 0)) &amp; " " &amp; INDEX(PRODUCTORES!$C:$C, MATCH(C351, PRODUCTORES!$F:$F, 0)), IFERROR(INDEX(PRODUCTORES!$B:$B, MATCH(C351, PRODUCTORES!$A:$A, 0)) &amp; " " &amp; INDEX(PRODUCTORES!$C:$C, MATCH(C351, PRODUCTORES!$A:$A, 0)), IFERROR(TRIM(MID(C351, SEARCH(" - ", C351) + 3, 100)), "NO ENCONTRADO"))))</f>
        <v/>
      </c>
      <c r="E351" s="31" t="str">
        <f t="array" ref="E351">IF(C351="","",IFERROR(INDEX(PRODUCTORES!$D:$D, MATCH(C351, PRODUCTORES!$F:$F, 0)), IFERROR(INDEX(PRODUCTORES!$D:$D, MATCH(IF(ISNUMBER(SEARCH(" - ", C351)), LEFT(C351, SEARCH(" - ", C351) - 1), C351), PRODUCTORES!$A:$A, 0)), "-")))</f>
        <v/>
      </c>
      <c r="F351" s="29"/>
      <c r="G351" s="29"/>
      <c r="H351" s="29"/>
    </row>
    <row r="352" ht="15.75" customHeight="1">
      <c r="A352" s="3"/>
      <c r="B352" s="29"/>
      <c r="C352" s="4"/>
      <c r="D352" s="30" t="str">
        <f t="array" ref="D352">IF(C352="","",IFERROR(INDEX(PRODUCTORES!$B:$B, MATCH(C352, PRODUCTORES!$F:$F, 0)) &amp; " " &amp; INDEX(PRODUCTORES!$C:$C, MATCH(C352, PRODUCTORES!$F:$F, 0)), IFERROR(INDEX(PRODUCTORES!$B:$B, MATCH(C352, PRODUCTORES!$A:$A, 0)) &amp; " " &amp; INDEX(PRODUCTORES!$C:$C, MATCH(C352, PRODUCTORES!$A:$A, 0)), IFERROR(TRIM(MID(C352, SEARCH(" - ", C352) + 3, 100)), "NO ENCONTRADO"))))</f>
        <v/>
      </c>
      <c r="E352" s="31" t="str">
        <f t="array" ref="E352">IF(C352="","",IFERROR(INDEX(PRODUCTORES!$D:$D, MATCH(C352, PRODUCTORES!$F:$F, 0)), IFERROR(INDEX(PRODUCTORES!$D:$D, MATCH(IF(ISNUMBER(SEARCH(" - ", C352)), LEFT(C352, SEARCH(" - ", C352) - 1), C352), PRODUCTORES!$A:$A, 0)), "-")))</f>
        <v/>
      </c>
      <c r="F352" s="29"/>
      <c r="G352" s="29"/>
      <c r="H352" s="29"/>
    </row>
    <row r="353" ht="15.75" customHeight="1">
      <c r="A353" s="3"/>
      <c r="B353" s="29"/>
      <c r="C353" s="4"/>
      <c r="D353" s="30" t="str">
        <f t="array" ref="D353">IF(C353="","",IFERROR(INDEX(PRODUCTORES!$B:$B, MATCH(C353, PRODUCTORES!$F:$F, 0)) &amp; " " &amp; INDEX(PRODUCTORES!$C:$C, MATCH(C353, PRODUCTORES!$F:$F, 0)), IFERROR(INDEX(PRODUCTORES!$B:$B, MATCH(C353, PRODUCTORES!$A:$A, 0)) &amp; " " &amp; INDEX(PRODUCTORES!$C:$C, MATCH(C353, PRODUCTORES!$A:$A, 0)), IFERROR(TRIM(MID(C353, SEARCH(" - ", C353) + 3, 100)), "NO ENCONTRADO"))))</f>
        <v/>
      </c>
      <c r="E353" s="31" t="str">
        <f t="array" ref="E353">IF(C353="","",IFERROR(INDEX(PRODUCTORES!$D:$D, MATCH(C353, PRODUCTORES!$F:$F, 0)), IFERROR(INDEX(PRODUCTORES!$D:$D, MATCH(IF(ISNUMBER(SEARCH(" - ", C353)), LEFT(C353, SEARCH(" - ", C353) - 1), C353), PRODUCTORES!$A:$A, 0)), "-")))</f>
        <v/>
      </c>
      <c r="F353" s="29"/>
      <c r="G353" s="29"/>
      <c r="H353" s="29"/>
    </row>
    <row r="354" ht="15.75" customHeight="1">
      <c r="A354" s="3"/>
      <c r="B354" s="29"/>
      <c r="C354" s="4"/>
      <c r="D354" s="30" t="str">
        <f t="array" ref="D354">IF(C354="","",IFERROR(INDEX(PRODUCTORES!$B:$B, MATCH(C354, PRODUCTORES!$F:$F, 0)) &amp; " " &amp; INDEX(PRODUCTORES!$C:$C, MATCH(C354, PRODUCTORES!$F:$F, 0)), IFERROR(INDEX(PRODUCTORES!$B:$B, MATCH(C354, PRODUCTORES!$A:$A, 0)) &amp; " " &amp; INDEX(PRODUCTORES!$C:$C, MATCH(C354, PRODUCTORES!$A:$A, 0)), IFERROR(TRIM(MID(C354, SEARCH(" - ", C354) + 3, 100)), "NO ENCONTRADO"))))</f>
        <v/>
      </c>
      <c r="E354" s="31" t="str">
        <f t="array" ref="E354">IF(C354="","",IFERROR(INDEX(PRODUCTORES!$D:$D, MATCH(C354, PRODUCTORES!$F:$F, 0)), IFERROR(INDEX(PRODUCTORES!$D:$D, MATCH(IF(ISNUMBER(SEARCH(" - ", C354)), LEFT(C354, SEARCH(" - ", C354) - 1), C354), PRODUCTORES!$A:$A, 0)), "-")))</f>
        <v/>
      </c>
      <c r="F354" s="29"/>
      <c r="G354" s="29"/>
      <c r="H354" s="29"/>
    </row>
    <row r="355" ht="15.75" customHeight="1">
      <c r="A355" s="3"/>
      <c r="B355" s="29"/>
      <c r="C355" s="4"/>
      <c r="D355" s="30" t="str">
        <f t="array" ref="D355">IF(C355="","",IFERROR(INDEX(PRODUCTORES!$B:$B, MATCH(C355, PRODUCTORES!$F:$F, 0)) &amp; " " &amp; INDEX(PRODUCTORES!$C:$C, MATCH(C355, PRODUCTORES!$F:$F, 0)), IFERROR(INDEX(PRODUCTORES!$B:$B, MATCH(C355, PRODUCTORES!$A:$A, 0)) &amp; " " &amp; INDEX(PRODUCTORES!$C:$C, MATCH(C355, PRODUCTORES!$A:$A, 0)), IFERROR(TRIM(MID(C355, SEARCH(" - ", C355) + 3, 100)), "NO ENCONTRADO"))))</f>
        <v/>
      </c>
      <c r="E355" s="31" t="str">
        <f t="array" ref="E355">IF(C355="","",IFERROR(INDEX(PRODUCTORES!$D:$D, MATCH(C355, PRODUCTORES!$F:$F, 0)), IFERROR(INDEX(PRODUCTORES!$D:$D, MATCH(IF(ISNUMBER(SEARCH(" - ", C355)), LEFT(C355, SEARCH(" - ", C355) - 1), C355), PRODUCTORES!$A:$A, 0)), "-")))</f>
        <v/>
      </c>
      <c r="F355" s="29"/>
      <c r="G355" s="29"/>
      <c r="H355" s="29"/>
    </row>
    <row r="356" ht="15.75" customHeight="1">
      <c r="A356" s="3"/>
      <c r="B356" s="29"/>
      <c r="C356" s="4"/>
      <c r="D356" s="30" t="str">
        <f t="array" ref="D356">IF(C356="","",IFERROR(INDEX(PRODUCTORES!$B:$B, MATCH(C356, PRODUCTORES!$F:$F, 0)) &amp; " " &amp; INDEX(PRODUCTORES!$C:$C, MATCH(C356, PRODUCTORES!$F:$F, 0)), IFERROR(INDEX(PRODUCTORES!$B:$B, MATCH(C356, PRODUCTORES!$A:$A, 0)) &amp; " " &amp; INDEX(PRODUCTORES!$C:$C, MATCH(C356, PRODUCTORES!$A:$A, 0)), IFERROR(TRIM(MID(C356, SEARCH(" - ", C356) + 3, 100)), "NO ENCONTRADO"))))</f>
        <v/>
      </c>
      <c r="E356" s="31" t="str">
        <f t="array" ref="E356">IF(C356="","",IFERROR(INDEX(PRODUCTORES!$D:$D, MATCH(C356, PRODUCTORES!$F:$F, 0)), IFERROR(INDEX(PRODUCTORES!$D:$D, MATCH(IF(ISNUMBER(SEARCH(" - ", C356)), LEFT(C356, SEARCH(" - ", C356) - 1), C356), PRODUCTORES!$A:$A, 0)), "-")))</f>
        <v/>
      </c>
      <c r="F356" s="29"/>
      <c r="G356" s="29"/>
      <c r="H356" s="29"/>
    </row>
    <row r="357" ht="15.75" customHeight="1">
      <c r="A357" s="3"/>
      <c r="B357" s="29"/>
      <c r="C357" s="4"/>
      <c r="D357" s="30" t="str">
        <f t="array" ref="D357">IF(C357="","",IFERROR(INDEX(PRODUCTORES!$B:$B, MATCH(C357, PRODUCTORES!$F:$F, 0)) &amp; " " &amp; INDEX(PRODUCTORES!$C:$C, MATCH(C357, PRODUCTORES!$F:$F, 0)), IFERROR(INDEX(PRODUCTORES!$B:$B, MATCH(C357, PRODUCTORES!$A:$A, 0)) &amp; " " &amp; INDEX(PRODUCTORES!$C:$C, MATCH(C357, PRODUCTORES!$A:$A, 0)), IFERROR(TRIM(MID(C357, SEARCH(" - ", C357) + 3, 100)), "NO ENCONTRADO"))))</f>
        <v/>
      </c>
      <c r="E357" s="31" t="str">
        <f t="array" ref="E357">IF(C357="","",IFERROR(INDEX(PRODUCTORES!$D:$D, MATCH(C357, PRODUCTORES!$F:$F, 0)), IFERROR(INDEX(PRODUCTORES!$D:$D, MATCH(IF(ISNUMBER(SEARCH(" - ", C357)), LEFT(C357, SEARCH(" - ", C357) - 1), C357), PRODUCTORES!$A:$A, 0)), "-")))</f>
        <v/>
      </c>
      <c r="F357" s="29"/>
      <c r="G357" s="29"/>
      <c r="H357" s="29"/>
    </row>
    <row r="358" ht="15.75" customHeight="1">
      <c r="A358" s="3"/>
      <c r="B358" s="29"/>
      <c r="C358" s="4"/>
      <c r="D358" s="30" t="str">
        <f t="array" ref="D358">IF(C358="","",IFERROR(INDEX(PRODUCTORES!$B:$B, MATCH(C358, PRODUCTORES!$F:$F, 0)) &amp; " " &amp; INDEX(PRODUCTORES!$C:$C, MATCH(C358, PRODUCTORES!$F:$F, 0)), IFERROR(INDEX(PRODUCTORES!$B:$B, MATCH(C358, PRODUCTORES!$A:$A, 0)) &amp; " " &amp; INDEX(PRODUCTORES!$C:$C, MATCH(C358, PRODUCTORES!$A:$A, 0)), IFERROR(TRIM(MID(C358, SEARCH(" - ", C358) + 3, 100)), "NO ENCONTRADO"))))</f>
        <v/>
      </c>
      <c r="E358" s="31" t="str">
        <f t="array" ref="E358">IF(C358="","",IFERROR(INDEX(PRODUCTORES!$D:$D, MATCH(C358, PRODUCTORES!$F:$F, 0)), IFERROR(INDEX(PRODUCTORES!$D:$D, MATCH(IF(ISNUMBER(SEARCH(" - ", C358)), LEFT(C358, SEARCH(" - ", C358) - 1), C358), PRODUCTORES!$A:$A, 0)), "-")))</f>
        <v/>
      </c>
      <c r="F358" s="29"/>
      <c r="G358" s="29"/>
      <c r="H358" s="29"/>
    </row>
    <row r="359" ht="15.75" customHeight="1">
      <c r="A359" s="3"/>
      <c r="B359" s="29"/>
      <c r="C359" s="4"/>
      <c r="D359" s="30" t="str">
        <f t="array" ref="D359">IF(C359="","",IFERROR(INDEX(PRODUCTORES!$B:$B, MATCH(C359, PRODUCTORES!$F:$F, 0)) &amp; " " &amp; INDEX(PRODUCTORES!$C:$C, MATCH(C359, PRODUCTORES!$F:$F, 0)), IFERROR(INDEX(PRODUCTORES!$B:$B, MATCH(C359, PRODUCTORES!$A:$A, 0)) &amp; " " &amp; INDEX(PRODUCTORES!$C:$C, MATCH(C359, PRODUCTORES!$A:$A, 0)), IFERROR(TRIM(MID(C359, SEARCH(" - ", C359) + 3, 100)), "NO ENCONTRADO"))))</f>
        <v/>
      </c>
      <c r="E359" s="31" t="str">
        <f t="array" ref="E359">IF(C359="","",IFERROR(INDEX(PRODUCTORES!$D:$D, MATCH(C359, PRODUCTORES!$F:$F, 0)), IFERROR(INDEX(PRODUCTORES!$D:$D, MATCH(IF(ISNUMBER(SEARCH(" - ", C359)), LEFT(C359, SEARCH(" - ", C359) - 1), C359), PRODUCTORES!$A:$A, 0)), "-")))</f>
        <v/>
      </c>
      <c r="F359" s="29"/>
      <c r="G359" s="29"/>
      <c r="H359" s="29"/>
    </row>
    <row r="360" ht="15.75" customHeight="1">
      <c r="A360" s="3"/>
      <c r="B360" s="29"/>
      <c r="C360" s="4"/>
      <c r="D360" s="30" t="str">
        <f t="array" ref="D360">IF(C360="","",IFERROR(INDEX(PRODUCTORES!$B:$B, MATCH(C360, PRODUCTORES!$F:$F, 0)) &amp; " " &amp; INDEX(PRODUCTORES!$C:$C, MATCH(C360, PRODUCTORES!$F:$F, 0)), IFERROR(INDEX(PRODUCTORES!$B:$B, MATCH(C360, PRODUCTORES!$A:$A, 0)) &amp; " " &amp; INDEX(PRODUCTORES!$C:$C, MATCH(C360, PRODUCTORES!$A:$A, 0)), IFERROR(TRIM(MID(C360, SEARCH(" - ", C360) + 3, 100)), "NO ENCONTRADO"))))</f>
        <v/>
      </c>
      <c r="E360" s="31" t="str">
        <f t="array" ref="E360">IF(C360="","",IFERROR(INDEX(PRODUCTORES!$D:$D, MATCH(C360, PRODUCTORES!$F:$F, 0)), IFERROR(INDEX(PRODUCTORES!$D:$D, MATCH(IF(ISNUMBER(SEARCH(" - ", C360)), LEFT(C360, SEARCH(" - ", C360) - 1), C360), PRODUCTORES!$A:$A, 0)), "-")))</f>
        <v/>
      </c>
      <c r="F360" s="29"/>
      <c r="G360" s="29"/>
      <c r="H360" s="29"/>
    </row>
    <row r="361" ht="15.75" customHeight="1">
      <c r="A361" s="3"/>
      <c r="B361" s="29"/>
      <c r="C361" s="4"/>
      <c r="D361" s="30" t="str">
        <f t="array" ref="D361">IF(C361="","",IFERROR(INDEX(PRODUCTORES!$B:$B, MATCH(C361, PRODUCTORES!$F:$F, 0)) &amp; " " &amp; INDEX(PRODUCTORES!$C:$C, MATCH(C361, PRODUCTORES!$F:$F, 0)), IFERROR(INDEX(PRODUCTORES!$B:$B, MATCH(C361, PRODUCTORES!$A:$A, 0)) &amp; " " &amp; INDEX(PRODUCTORES!$C:$C, MATCH(C361, PRODUCTORES!$A:$A, 0)), IFERROR(TRIM(MID(C361, SEARCH(" - ", C361) + 3, 100)), "NO ENCONTRADO"))))</f>
        <v/>
      </c>
      <c r="E361" s="31" t="str">
        <f t="array" ref="E361">IF(C361="","",IFERROR(INDEX(PRODUCTORES!$D:$D, MATCH(C361, PRODUCTORES!$F:$F, 0)), IFERROR(INDEX(PRODUCTORES!$D:$D, MATCH(IF(ISNUMBER(SEARCH(" - ", C361)), LEFT(C361, SEARCH(" - ", C361) - 1), C361), PRODUCTORES!$A:$A, 0)), "-")))</f>
        <v/>
      </c>
      <c r="F361" s="29"/>
      <c r="G361" s="29"/>
      <c r="H361" s="29"/>
    </row>
    <row r="362" ht="15.75" customHeight="1">
      <c r="A362" s="3"/>
      <c r="B362" s="29"/>
      <c r="C362" s="4"/>
      <c r="D362" s="30" t="str">
        <f t="array" ref="D362">IF(C362="","",IFERROR(INDEX(PRODUCTORES!$B:$B, MATCH(C362, PRODUCTORES!$F:$F, 0)) &amp; " " &amp; INDEX(PRODUCTORES!$C:$C, MATCH(C362, PRODUCTORES!$F:$F, 0)), IFERROR(INDEX(PRODUCTORES!$B:$B, MATCH(C362, PRODUCTORES!$A:$A, 0)) &amp; " " &amp; INDEX(PRODUCTORES!$C:$C, MATCH(C362, PRODUCTORES!$A:$A, 0)), IFERROR(TRIM(MID(C362, SEARCH(" - ", C362) + 3, 100)), "NO ENCONTRADO"))))</f>
        <v/>
      </c>
      <c r="E362" s="31" t="str">
        <f t="array" ref="E362">IF(C362="","",IFERROR(INDEX(PRODUCTORES!$D:$D, MATCH(C362, PRODUCTORES!$F:$F, 0)), IFERROR(INDEX(PRODUCTORES!$D:$D, MATCH(IF(ISNUMBER(SEARCH(" - ", C362)), LEFT(C362, SEARCH(" - ", C362) - 1), C362), PRODUCTORES!$A:$A, 0)), "-")))</f>
        <v/>
      </c>
      <c r="F362" s="29"/>
      <c r="G362" s="29"/>
      <c r="H362" s="29"/>
    </row>
    <row r="363" ht="15.75" customHeight="1">
      <c r="A363" s="3"/>
      <c r="B363" s="29"/>
      <c r="C363" s="4"/>
      <c r="D363" s="30" t="str">
        <f t="array" ref="D363">IF(C363="","",IFERROR(INDEX(PRODUCTORES!$B:$B, MATCH(C363, PRODUCTORES!$F:$F, 0)) &amp; " " &amp; INDEX(PRODUCTORES!$C:$C, MATCH(C363, PRODUCTORES!$F:$F, 0)), IFERROR(INDEX(PRODUCTORES!$B:$B, MATCH(C363, PRODUCTORES!$A:$A, 0)) &amp; " " &amp; INDEX(PRODUCTORES!$C:$C, MATCH(C363, PRODUCTORES!$A:$A, 0)), IFERROR(TRIM(MID(C363, SEARCH(" - ", C363) + 3, 100)), "NO ENCONTRADO"))))</f>
        <v/>
      </c>
      <c r="E363" s="31" t="str">
        <f t="array" ref="E363">IF(C363="","",IFERROR(INDEX(PRODUCTORES!$D:$D, MATCH(C363, PRODUCTORES!$F:$F, 0)), IFERROR(INDEX(PRODUCTORES!$D:$D, MATCH(IF(ISNUMBER(SEARCH(" - ", C363)), LEFT(C363, SEARCH(" - ", C363) - 1), C363), PRODUCTORES!$A:$A, 0)), "-")))</f>
        <v/>
      </c>
      <c r="F363" s="29"/>
      <c r="G363" s="29"/>
      <c r="H363" s="29"/>
    </row>
    <row r="364" ht="15.75" customHeight="1">
      <c r="A364" s="3"/>
      <c r="B364" s="29"/>
      <c r="C364" s="4"/>
      <c r="D364" s="30" t="str">
        <f t="array" ref="D364">IF(C364="","",IFERROR(INDEX(PRODUCTORES!$B:$B, MATCH(C364, PRODUCTORES!$F:$F, 0)) &amp; " " &amp; INDEX(PRODUCTORES!$C:$C, MATCH(C364, PRODUCTORES!$F:$F, 0)), IFERROR(INDEX(PRODUCTORES!$B:$B, MATCH(C364, PRODUCTORES!$A:$A, 0)) &amp; " " &amp; INDEX(PRODUCTORES!$C:$C, MATCH(C364, PRODUCTORES!$A:$A, 0)), IFERROR(TRIM(MID(C364, SEARCH(" - ", C364) + 3, 100)), "NO ENCONTRADO"))))</f>
        <v/>
      </c>
      <c r="E364" s="31" t="str">
        <f t="array" ref="E364">IF(C364="","",IFERROR(INDEX(PRODUCTORES!$D:$D, MATCH(C364, PRODUCTORES!$F:$F, 0)), IFERROR(INDEX(PRODUCTORES!$D:$D, MATCH(IF(ISNUMBER(SEARCH(" - ", C364)), LEFT(C364, SEARCH(" - ", C364) - 1), C364), PRODUCTORES!$A:$A, 0)), "-")))</f>
        <v/>
      </c>
      <c r="F364" s="29"/>
      <c r="G364" s="29"/>
      <c r="H364" s="29"/>
    </row>
    <row r="365" ht="15.75" customHeight="1">
      <c r="A365" s="3"/>
      <c r="B365" s="29"/>
      <c r="C365" s="4"/>
      <c r="D365" s="30" t="str">
        <f t="array" ref="D365">IF(C365="","",IFERROR(INDEX(PRODUCTORES!$B:$B, MATCH(C365, PRODUCTORES!$F:$F, 0)) &amp; " " &amp; INDEX(PRODUCTORES!$C:$C, MATCH(C365, PRODUCTORES!$F:$F, 0)), IFERROR(INDEX(PRODUCTORES!$B:$B, MATCH(C365, PRODUCTORES!$A:$A, 0)) &amp; " " &amp; INDEX(PRODUCTORES!$C:$C, MATCH(C365, PRODUCTORES!$A:$A, 0)), IFERROR(TRIM(MID(C365, SEARCH(" - ", C365) + 3, 100)), "NO ENCONTRADO"))))</f>
        <v/>
      </c>
      <c r="E365" s="31" t="str">
        <f t="array" ref="E365">IF(C365="","",IFERROR(INDEX(PRODUCTORES!$D:$D, MATCH(C365, PRODUCTORES!$F:$F, 0)), IFERROR(INDEX(PRODUCTORES!$D:$D, MATCH(IF(ISNUMBER(SEARCH(" - ", C365)), LEFT(C365, SEARCH(" - ", C365) - 1), C365), PRODUCTORES!$A:$A, 0)), "-")))</f>
        <v/>
      </c>
      <c r="F365" s="29"/>
      <c r="G365" s="29"/>
      <c r="H365" s="29"/>
    </row>
    <row r="366" ht="15.75" customHeight="1">
      <c r="A366" s="3"/>
      <c r="B366" s="29"/>
      <c r="C366" s="4"/>
      <c r="D366" s="30" t="str">
        <f t="array" ref="D366">IF(C366="","",IFERROR(INDEX(PRODUCTORES!$B:$B, MATCH(C366, PRODUCTORES!$F:$F, 0)) &amp; " " &amp; INDEX(PRODUCTORES!$C:$C, MATCH(C366, PRODUCTORES!$F:$F, 0)), IFERROR(INDEX(PRODUCTORES!$B:$B, MATCH(C366, PRODUCTORES!$A:$A, 0)) &amp; " " &amp; INDEX(PRODUCTORES!$C:$C, MATCH(C366, PRODUCTORES!$A:$A, 0)), IFERROR(TRIM(MID(C366, SEARCH(" - ", C366) + 3, 100)), "NO ENCONTRADO"))))</f>
        <v/>
      </c>
      <c r="E366" s="31" t="str">
        <f t="array" ref="E366">IF(C366="","",IFERROR(INDEX(PRODUCTORES!$D:$D, MATCH(C366, PRODUCTORES!$F:$F, 0)), IFERROR(INDEX(PRODUCTORES!$D:$D, MATCH(IF(ISNUMBER(SEARCH(" - ", C366)), LEFT(C366, SEARCH(" - ", C366) - 1), C366), PRODUCTORES!$A:$A, 0)), "-")))</f>
        <v/>
      </c>
      <c r="F366" s="29"/>
      <c r="G366" s="29"/>
      <c r="H366" s="29"/>
    </row>
    <row r="367" ht="15.75" customHeight="1">
      <c r="A367" s="3"/>
      <c r="B367" s="29"/>
      <c r="C367" s="4"/>
      <c r="D367" s="30" t="str">
        <f t="array" ref="D367">IF(C367="","",IFERROR(INDEX(PRODUCTORES!$B:$B, MATCH(C367, PRODUCTORES!$F:$F, 0)) &amp; " " &amp; INDEX(PRODUCTORES!$C:$C, MATCH(C367, PRODUCTORES!$F:$F, 0)), IFERROR(INDEX(PRODUCTORES!$B:$B, MATCH(C367, PRODUCTORES!$A:$A, 0)) &amp; " " &amp; INDEX(PRODUCTORES!$C:$C, MATCH(C367, PRODUCTORES!$A:$A, 0)), IFERROR(TRIM(MID(C367, SEARCH(" - ", C367) + 3, 100)), "NO ENCONTRADO"))))</f>
        <v/>
      </c>
      <c r="E367" s="31" t="str">
        <f t="array" ref="E367">IF(C367="","",IFERROR(INDEX(PRODUCTORES!$D:$D, MATCH(C367, PRODUCTORES!$F:$F, 0)), IFERROR(INDEX(PRODUCTORES!$D:$D, MATCH(IF(ISNUMBER(SEARCH(" - ", C367)), LEFT(C367, SEARCH(" - ", C367) - 1), C367), PRODUCTORES!$A:$A, 0)), "-")))</f>
        <v/>
      </c>
      <c r="F367" s="29"/>
      <c r="G367" s="29"/>
      <c r="H367" s="29"/>
    </row>
    <row r="368" ht="15.75" customHeight="1">
      <c r="A368" s="3"/>
      <c r="B368" s="29"/>
      <c r="C368" s="4"/>
      <c r="D368" s="30" t="str">
        <f t="array" ref="D368">IF(C368="","",IFERROR(INDEX(PRODUCTORES!$B:$B, MATCH(C368, PRODUCTORES!$F:$F, 0)) &amp; " " &amp; INDEX(PRODUCTORES!$C:$C, MATCH(C368, PRODUCTORES!$F:$F, 0)), IFERROR(INDEX(PRODUCTORES!$B:$B, MATCH(C368, PRODUCTORES!$A:$A, 0)) &amp; " " &amp; INDEX(PRODUCTORES!$C:$C, MATCH(C368, PRODUCTORES!$A:$A, 0)), IFERROR(TRIM(MID(C368, SEARCH(" - ", C368) + 3, 100)), "NO ENCONTRADO"))))</f>
        <v/>
      </c>
      <c r="E368" s="31" t="str">
        <f t="array" ref="E368">IF(C368="","",IFERROR(INDEX(PRODUCTORES!$D:$D, MATCH(C368, PRODUCTORES!$F:$F, 0)), IFERROR(INDEX(PRODUCTORES!$D:$D, MATCH(IF(ISNUMBER(SEARCH(" - ", C368)), LEFT(C368, SEARCH(" - ", C368) - 1), C368), PRODUCTORES!$A:$A, 0)), "-")))</f>
        <v/>
      </c>
      <c r="F368" s="29"/>
      <c r="G368" s="29"/>
      <c r="H368" s="29"/>
    </row>
    <row r="369" ht="15.75" customHeight="1">
      <c r="A369" s="3"/>
      <c r="B369" s="29"/>
      <c r="C369" s="4"/>
      <c r="D369" s="30" t="str">
        <f t="array" ref="D369">IF(C369="","",IFERROR(INDEX(PRODUCTORES!$B:$B, MATCH(C369, PRODUCTORES!$F:$F, 0)) &amp; " " &amp; INDEX(PRODUCTORES!$C:$C, MATCH(C369, PRODUCTORES!$F:$F, 0)), IFERROR(INDEX(PRODUCTORES!$B:$B, MATCH(C369, PRODUCTORES!$A:$A, 0)) &amp; " " &amp; INDEX(PRODUCTORES!$C:$C, MATCH(C369, PRODUCTORES!$A:$A, 0)), IFERROR(TRIM(MID(C369, SEARCH(" - ", C369) + 3, 100)), "NO ENCONTRADO"))))</f>
        <v/>
      </c>
      <c r="E369" s="31" t="str">
        <f t="array" ref="E369">IF(C369="","",IFERROR(INDEX(PRODUCTORES!$D:$D, MATCH(C369, PRODUCTORES!$F:$F, 0)), IFERROR(INDEX(PRODUCTORES!$D:$D, MATCH(IF(ISNUMBER(SEARCH(" - ", C369)), LEFT(C369, SEARCH(" - ", C369) - 1), C369), PRODUCTORES!$A:$A, 0)), "-")))</f>
        <v/>
      </c>
      <c r="F369" s="29"/>
      <c r="G369" s="29"/>
      <c r="H369" s="29"/>
    </row>
    <row r="370" ht="15.75" customHeight="1">
      <c r="A370" s="3"/>
      <c r="B370" s="29"/>
      <c r="C370" s="4"/>
      <c r="D370" s="30" t="str">
        <f t="array" ref="D370">IF(C370="","",IFERROR(INDEX(PRODUCTORES!$B:$B, MATCH(C370, PRODUCTORES!$F:$F, 0)) &amp; " " &amp; INDEX(PRODUCTORES!$C:$C, MATCH(C370, PRODUCTORES!$F:$F, 0)), IFERROR(INDEX(PRODUCTORES!$B:$B, MATCH(C370, PRODUCTORES!$A:$A, 0)) &amp; " " &amp; INDEX(PRODUCTORES!$C:$C, MATCH(C370, PRODUCTORES!$A:$A, 0)), IFERROR(TRIM(MID(C370, SEARCH(" - ", C370) + 3, 100)), "NO ENCONTRADO"))))</f>
        <v/>
      </c>
      <c r="E370" s="31" t="str">
        <f t="array" ref="E370">IF(C370="","",IFERROR(INDEX(PRODUCTORES!$D:$D, MATCH(C370, PRODUCTORES!$F:$F, 0)), IFERROR(INDEX(PRODUCTORES!$D:$D, MATCH(IF(ISNUMBER(SEARCH(" - ", C370)), LEFT(C370, SEARCH(" - ", C370) - 1), C370), PRODUCTORES!$A:$A, 0)), "-")))</f>
        <v/>
      </c>
      <c r="F370" s="29"/>
      <c r="G370" s="29"/>
      <c r="H370" s="29"/>
    </row>
    <row r="371" ht="15.75" customHeight="1">
      <c r="A371" s="3"/>
      <c r="B371" s="29"/>
      <c r="C371" s="4"/>
      <c r="D371" s="30" t="str">
        <f t="array" ref="D371">IF(C371="","",IFERROR(INDEX(PRODUCTORES!$B:$B, MATCH(C371, PRODUCTORES!$F:$F, 0)) &amp; " " &amp; INDEX(PRODUCTORES!$C:$C, MATCH(C371, PRODUCTORES!$F:$F, 0)), IFERROR(INDEX(PRODUCTORES!$B:$B, MATCH(C371, PRODUCTORES!$A:$A, 0)) &amp; " " &amp; INDEX(PRODUCTORES!$C:$C, MATCH(C371, PRODUCTORES!$A:$A, 0)), IFERROR(TRIM(MID(C371, SEARCH(" - ", C371) + 3, 100)), "NO ENCONTRADO"))))</f>
        <v/>
      </c>
      <c r="E371" s="31" t="str">
        <f t="array" ref="E371">IF(C371="","",IFERROR(INDEX(PRODUCTORES!$D:$D, MATCH(C371, PRODUCTORES!$F:$F, 0)), IFERROR(INDEX(PRODUCTORES!$D:$D, MATCH(IF(ISNUMBER(SEARCH(" - ", C371)), LEFT(C371, SEARCH(" - ", C371) - 1), C371), PRODUCTORES!$A:$A, 0)), "-")))</f>
        <v/>
      </c>
      <c r="F371" s="29"/>
      <c r="G371" s="29"/>
      <c r="H371" s="29"/>
    </row>
    <row r="372" ht="15.75" customHeight="1">
      <c r="A372" s="3"/>
      <c r="B372" s="29"/>
      <c r="C372" s="4"/>
      <c r="D372" s="30" t="str">
        <f t="array" ref="D372">IF(C372="","",IFERROR(INDEX(PRODUCTORES!$B:$B, MATCH(C372, PRODUCTORES!$F:$F, 0)) &amp; " " &amp; INDEX(PRODUCTORES!$C:$C, MATCH(C372, PRODUCTORES!$F:$F, 0)), IFERROR(INDEX(PRODUCTORES!$B:$B, MATCH(C372, PRODUCTORES!$A:$A, 0)) &amp; " " &amp; INDEX(PRODUCTORES!$C:$C, MATCH(C372, PRODUCTORES!$A:$A, 0)), IFERROR(TRIM(MID(C372, SEARCH(" - ", C372) + 3, 100)), "NO ENCONTRADO"))))</f>
        <v/>
      </c>
      <c r="E372" s="31" t="str">
        <f t="array" ref="E372">IF(C372="","",IFERROR(INDEX(PRODUCTORES!$D:$D, MATCH(C372, PRODUCTORES!$F:$F, 0)), IFERROR(INDEX(PRODUCTORES!$D:$D, MATCH(IF(ISNUMBER(SEARCH(" - ", C372)), LEFT(C372, SEARCH(" - ", C372) - 1), C372), PRODUCTORES!$A:$A, 0)), "-")))</f>
        <v/>
      </c>
      <c r="F372" s="29"/>
      <c r="G372" s="29"/>
      <c r="H372" s="29"/>
    </row>
    <row r="373" ht="15.75" customHeight="1">
      <c r="A373" s="3"/>
      <c r="B373" s="29"/>
      <c r="C373" s="4"/>
      <c r="D373" s="30" t="str">
        <f t="array" ref="D373">IF(C373="","",IFERROR(INDEX(PRODUCTORES!$B:$B, MATCH(C373, PRODUCTORES!$F:$F, 0)) &amp; " " &amp; INDEX(PRODUCTORES!$C:$C, MATCH(C373, PRODUCTORES!$F:$F, 0)), IFERROR(INDEX(PRODUCTORES!$B:$B, MATCH(C373, PRODUCTORES!$A:$A, 0)) &amp; " " &amp; INDEX(PRODUCTORES!$C:$C, MATCH(C373, PRODUCTORES!$A:$A, 0)), IFERROR(TRIM(MID(C373, SEARCH(" - ", C373) + 3, 100)), "NO ENCONTRADO"))))</f>
        <v/>
      </c>
      <c r="E373" s="31" t="str">
        <f t="array" ref="E373">IF(C373="","",IFERROR(INDEX(PRODUCTORES!$D:$D, MATCH(C373, PRODUCTORES!$F:$F, 0)), IFERROR(INDEX(PRODUCTORES!$D:$D, MATCH(IF(ISNUMBER(SEARCH(" - ", C373)), LEFT(C373, SEARCH(" - ", C373) - 1), C373), PRODUCTORES!$A:$A, 0)), "-")))</f>
        <v/>
      </c>
      <c r="F373" s="29"/>
      <c r="G373" s="29"/>
      <c r="H373" s="29"/>
    </row>
    <row r="374" ht="15.75" customHeight="1">
      <c r="A374" s="3"/>
      <c r="B374" s="29"/>
      <c r="C374" s="4"/>
      <c r="D374" s="30" t="str">
        <f t="array" ref="D374">IF(C374="","",IFERROR(INDEX(PRODUCTORES!$B:$B, MATCH(C374, PRODUCTORES!$F:$F, 0)) &amp; " " &amp; INDEX(PRODUCTORES!$C:$C, MATCH(C374, PRODUCTORES!$F:$F, 0)), IFERROR(INDEX(PRODUCTORES!$B:$B, MATCH(C374, PRODUCTORES!$A:$A, 0)) &amp; " " &amp; INDEX(PRODUCTORES!$C:$C, MATCH(C374, PRODUCTORES!$A:$A, 0)), IFERROR(TRIM(MID(C374, SEARCH(" - ", C374) + 3, 100)), "NO ENCONTRADO"))))</f>
        <v/>
      </c>
      <c r="E374" s="31" t="str">
        <f t="array" ref="E374">IF(C374="","",IFERROR(INDEX(PRODUCTORES!$D:$D, MATCH(C374, PRODUCTORES!$F:$F, 0)), IFERROR(INDEX(PRODUCTORES!$D:$D, MATCH(IF(ISNUMBER(SEARCH(" - ", C374)), LEFT(C374, SEARCH(" - ", C374) - 1), C374), PRODUCTORES!$A:$A, 0)), "-")))</f>
        <v/>
      </c>
      <c r="F374" s="29"/>
      <c r="G374" s="29"/>
      <c r="H374" s="29"/>
    </row>
    <row r="375" ht="15.75" customHeight="1">
      <c r="A375" s="3"/>
      <c r="B375" s="29"/>
      <c r="C375" s="4"/>
      <c r="D375" s="30" t="str">
        <f t="array" ref="D375">IF(C375="","",IFERROR(INDEX(PRODUCTORES!$B:$B, MATCH(C375, PRODUCTORES!$F:$F, 0)) &amp; " " &amp; INDEX(PRODUCTORES!$C:$C, MATCH(C375, PRODUCTORES!$F:$F, 0)), IFERROR(INDEX(PRODUCTORES!$B:$B, MATCH(C375, PRODUCTORES!$A:$A, 0)) &amp; " " &amp; INDEX(PRODUCTORES!$C:$C, MATCH(C375, PRODUCTORES!$A:$A, 0)), IFERROR(TRIM(MID(C375, SEARCH(" - ", C375) + 3, 100)), "NO ENCONTRADO"))))</f>
        <v/>
      </c>
      <c r="E375" s="31" t="str">
        <f t="array" ref="E375">IF(C375="","",IFERROR(INDEX(PRODUCTORES!$D:$D, MATCH(C375, PRODUCTORES!$F:$F, 0)), IFERROR(INDEX(PRODUCTORES!$D:$D, MATCH(IF(ISNUMBER(SEARCH(" - ", C375)), LEFT(C375, SEARCH(" - ", C375) - 1), C375), PRODUCTORES!$A:$A, 0)), "-")))</f>
        <v/>
      </c>
      <c r="F375" s="29"/>
      <c r="G375" s="29"/>
      <c r="H375" s="29"/>
    </row>
    <row r="376" ht="15.75" customHeight="1">
      <c r="A376" s="3"/>
      <c r="B376" s="29"/>
      <c r="C376" s="4"/>
      <c r="D376" s="30" t="str">
        <f t="array" ref="D376">IF(C376="","",IFERROR(INDEX(PRODUCTORES!$B:$B, MATCH(C376, PRODUCTORES!$F:$F, 0)) &amp; " " &amp; INDEX(PRODUCTORES!$C:$C, MATCH(C376, PRODUCTORES!$F:$F, 0)), IFERROR(INDEX(PRODUCTORES!$B:$B, MATCH(C376, PRODUCTORES!$A:$A, 0)) &amp; " " &amp; INDEX(PRODUCTORES!$C:$C, MATCH(C376, PRODUCTORES!$A:$A, 0)), IFERROR(TRIM(MID(C376, SEARCH(" - ", C376) + 3, 100)), "NO ENCONTRADO"))))</f>
        <v/>
      </c>
      <c r="E376" s="31" t="str">
        <f t="array" ref="E376">IF(C376="","",IFERROR(INDEX(PRODUCTORES!$D:$D, MATCH(C376, PRODUCTORES!$F:$F, 0)), IFERROR(INDEX(PRODUCTORES!$D:$D, MATCH(IF(ISNUMBER(SEARCH(" - ", C376)), LEFT(C376, SEARCH(" - ", C376) - 1), C376), PRODUCTORES!$A:$A, 0)), "-")))</f>
        <v/>
      </c>
      <c r="F376" s="29"/>
      <c r="G376" s="29"/>
      <c r="H376" s="29"/>
    </row>
    <row r="377" ht="15.75" customHeight="1">
      <c r="A377" s="3"/>
      <c r="B377" s="29"/>
      <c r="C377" s="4"/>
      <c r="D377" s="30" t="str">
        <f t="array" ref="D377">IF(C377="","",IFERROR(INDEX(PRODUCTORES!$B:$B, MATCH(C377, PRODUCTORES!$F:$F, 0)) &amp; " " &amp; INDEX(PRODUCTORES!$C:$C, MATCH(C377, PRODUCTORES!$F:$F, 0)), IFERROR(INDEX(PRODUCTORES!$B:$B, MATCH(C377, PRODUCTORES!$A:$A, 0)) &amp; " " &amp; INDEX(PRODUCTORES!$C:$C, MATCH(C377, PRODUCTORES!$A:$A, 0)), IFERROR(TRIM(MID(C377, SEARCH(" - ", C377) + 3, 100)), "NO ENCONTRADO"))))</f>
        <v/>
      </c>
      <c r="E377" s="31" t="str">
        <f t="array" ref="E377">IF(C377="","",IFERROR(INDEX(PRODUCTORES!$D:$D, MATCH(C377, PRODUCTORES!$F:$F, 0)), IFERROR(INDEX(PRODUCTORES!$D:$D, MATCH(IF(ISNUMBER(SEARCH(" - ", C377)), LEFT(C377, SEARCH(" - ", C377) - 1), C377), PRODUCTORES!$A:$A, 0)), "-")))</f>
        <v/>
      </c>
      <c r="F377" s="29"/>
      <c r="G377" s="29"/>
      <c r="H377" s="29"/>
    </row>
    <row r="378" ht="15.75" customHeight="1">
      <c r="A378" s="3"/>
      <c r="B378" s="29"/>
      <c r="C378" s="4"/>
      <c r="D378" s="30" t="str">
        <f t="array" ref="D378">IF(C378="","",IFERROR(INDEX(PRODUCTORES!$B:$B, MATCH(C378, PRODUCTORES!$F:$F, 0)) &amp; " " &amp; INDEX(PRODUCTORES!$C:$C, MATCH(C378, PRODUCTORES!$F:$F, 0)), IFERROR(INDEX(PRODUCTORES!$B:$B, MATCH(C378, PRODUCTORES!$A:$A, 0)) &amp; " " &amp; INDEX(PRODUCTORES!$C:$C, MATCH(C378, PRODUCTORES!$A:$A, 0)), IFERROR(TRIM(MID(C378, SEARCH(" - ", C378) + 3, 100)), "NO ENCONTRADO"))))</f>
        <v/>
      </c>
      <c r="E378" s="31" t="str">
        <f t="array" ref="E378">IF(C378="","",IFERROR(INDEX(PRODUCTORES!$D:$D, MATCH(C378, PRODUCTORES!$F:$F, 0)), IFERROR(INDEX(PRODUCTORES!$D:$D, MATCH(IF(ISNUMBER(SEARCH(" - ", C378)), LEFT(C378, SEARCH(" - ", C378) - 1), C378), PRODUCTORES!$A:$A, 0)), "-")))</f>
        <v/>
      </c>
      <c r="F378" s="29"/>
      <c r="G378" s="29"/>
      <c r="H378" s="29"/>
    </row>
    <row r="379" ht="15.75" customHeight="1">
      <c r="A379" s="3"/>
      <c r="B379" s="29"/>
      <c r="C379" s="4"/>
      <c r="D379" s="30" t="str">
        <f t="array" ref="D379">IF(C379="","",IFERROR(INDEX(PRODUCTORES!$B:$B, MATCH(C379, PRODUCTORES!$F:$F, 0)) &amp; " " &amp; INDEX(PRODUCTORES!$C:$C, MATCH(C379, PRODUCTORES!$F:$F, 0)), IFERROR(INDEX(PRODUCTORES!$B:$B, MATCH(C379, PRODUCTORES!$A:$A, 0)) &amp; " " &amp; INDEX(PRODUCTORES!$C:$C, MATCH(C379, PRODUCTORES!$A:$A, 0)), IFERROR(TRIM(MID(C379, SEARCH(" - ", C379) + 3, 100)), "NO ENCONTRADO"))))</f>
        <v/>
      </c>
      <c r="E379" s="31" t="str">
        <f t="array" ref="E379">IF(C379="","",IFERROR(INDEX(PRODUCTORES!$D:$D, MATCH(C379, PRODUCTORES!$F:$F, 0)), IFERROR(INDEX(PRODUCTORES!$D:$D, MATCH(IF(ISNUMBER(SEARCH(" - ", C379)), LEFT(C379, SEARCH(" - ", C379) - 1), C379), PRODUCTORES!$A:$A, 0)), "-")))</f>
        <v/>
      </c>
      <c r="F379" s="29"/>
      <c r="G379" s="29"/>
      <c r="H379" s="29"/>
    </row>
    <row r="380" ht="15.75" customHeight="1">
      <c r="A380" s="3"/>
      <c r="B380" s="29"/>
      <c r="C380" s="4"/>
      <c r="D380" s="30" t="str">
        <f t="array" ref="D380">IF(C380="","",IFERROR(INDEX(PRODUCTORES!$B:$B, MATCH(C380, PRODUCTORES!$F:$F, 0)) &amp; " " &amp; INDEX(PRODUCTORES!$C:$C, MATCH(C380, PRODUCTORES!$F:$F, 0)), IFERROR(INDEX(PRODUCTORES!$B:$B, MATCH(C380, PRODUCTORES!$A:$A, 0)) &amp; " " &amp; INDEX(PRODUCTORES!$C:$C, MATCH(C380, PRODUCTORES!$A:$A, 0)), IFERROR(TRIM(MID(C380, SEARCH(" - ", C380) + 3, 100)), "NO ENCONTRADO"))))</f>
        <v/>
      </c>
      <c r="E380" s="31" t="str">
        <f t="array" ref="E380">IF(C380="","",IFERROR(INDEX(PRODUCTORES!$D:$D, MATCH(C380, PRODUCTORES!$F:$F, 0)), IFERROR(INDEX(PRODUCTORES!$D:$D, MATCH(IF(ISNUMBER(SEARCH(" - ", C380)), LEFT(C380, SEARCH(" - ", C380) - 1), C380), PRODUCTORES!$A:$A, 0)), "-")))</f>
        <v/>
      </c>
      <c r="F380" s="29"/>
      <c r="G380" s="29"/>
      <c r="H380" s="29"/>
    </row>
    <row r="381" ht="15.75" customHeight="1">
      <c r="A381" s="3"/>
      <c r="B381" s="29"/>
      <c r="C381" s="4"/>
      <c r="D381" s="30" t="str">
        <f t="array" ref="D381">IF(C381="","",IFERROR(INDEX(PRODUCTORES!$B:$B, MATCH(C381, PRODUCTORES!$F:$F, 0)) &amp; " " &amp; INDEX(PRODUCTORES!$C:$C, MATCH(C381, PRODUCTORES!$F:$F, 0)), IFERROR(INDEX(PRODUCTORES!$B:$B, MATCH(C381, PRODUCTORES!$A:$A, 0)) &amp; " " &amp; INDEX(PRODUCTORES!$C:$C, MATCH(C381, PRODUCTORES!$A:$A, 0)), IFERROR(TRIM(MID(C381, SEARCH(" - ", C381) + 3, 100)), "NO ENCONTRADO"))))</f>
        <v/>
      </c>
      <c r="E381" s="31" t="str">
        <f t="array" ref="E381">IF(C381="","",IFERROR(INDEX(PRODUCTORES!$D:$D, MATCH(C381, PRODUCTORES!$F:$F, 0)), IFERROR(INDEX(PRODUCTORES!$D:$D, MATCH(IF(ISNUMBER(SEARCH(" - ", C381)), LEFT(C381, SEARCH(" - ", C381) - 1), C381), PRODUCTORES!$A:$A, 0)), "-")))</f>
        <v/>
      </c>
      <c r="F381" s="29"/>
      <c r="G381" s="29"/>
      <c r="H381" s="29"/>
    </row>
    <row r="382" ht="15.75" customHeight="1">
      <c r="A382" s="3"/>
      <c r="B382" s="29"/>
      <c r="C382" s="4"/>
      <c r="D382" s="30" t="str">
        <f t="array" ref="D382">IF(C382="","",IFERROR(INDEX(PRODUCTORES!$B:$B, MATCH(C382, PRODUCTORES!$F:$F, 0)) &amp; " " &amp; INDEX(PRODUCTORES!$C:$C, MATCH(C382, PRODUCTORES!$F:$F, 0)), IFERROR(INDEX(PRODUCTORES!$B:$B, MATCH(C382, PRODUCTORES!$A:$A, 0)) &amp; " " &amp; INDEX(PRODUCTORES!$C:$C, MATCH(C382, PRODUCTORES!$A:$A, 0)), IFERROR(TRIM(MID(C382, SEARCH(" - ", C382) + 3, 100)), "NO ENCONTRADO"))))</f>
        <v/>
      </c>
      <c r="E382" s="31" t="str">
        <f t="array" ref="E382">IF(C382="","",IFERROR(INDEX(PRODUCTORES!$D:$D, MATCH(C382, PRODUCTORES!$F:$F, 0)), IFERROR(INDEX(PRODUCTORES!$D:$D, MATCH(IF(ISNUMBER(SEARCH(" - ", C382)), LEFT(C382, SEARCH(" - ", C382) - 1), C382), PRODUCTORES!$A:$A, 0)), "-")))</f>
        <v/>
      </c>
      <c r="F382" s="29"/>
      <c r="G382" s="29"/>
      <c r="H382" s="29"/>
    </row>
    <row r="383" ht="15.75" customHeight="1">
      <c r="A383" s="3"/>
      <c r="B383" s="29"/>
      <c r="C383" s="4"/>
      <c r="D383" s="30" t="str">
        <f t="array" ref="D383">IF(C383="","",IFERROR(INDEX(PRODUCTORES!$B:$B, MATCH(C383, PRODUCTORES!$F:$F, 0)) &amp; " " &amp; INDEX(PRODUCTORES!$C:$C, MATCH(C383, PRODUCTORES!$F:$F, 0)), IFERROR(INDEX(PRODUCTORES!$B:$B, MATCH(C383, PRODUCTORES!$A:$A, 0)) &amp; " " &amp; INDEX(PRODUCTORES!$C:$C, MATCH(C383, PRODUCTORES!$A:$A, 0)), IFERROR(TRIM(MID(C383, SEARCH(" - ", C383) + 3, 100)), "NO ENCONTRADO"))))</f>
        <v/>
      </c>
      <c r="E383" s="31" t="str">
        <f t="array" ref="E383">IF(C383="","",IFERROR(INDEX(PRODUCTORES!$D:$D, MATCH(C383, PRODUCTORES!$F:$F, 0)), IFERROR(INDEX(PRODUCTORES!$D:$D, MATCH(IF(ISNUMBER(SEARCH(" - ", C383)), LEFT(C383, SEARCH(" - ", C383) - 1), C383), PRODUCTORES!$A:$A, 0)), "-")))</f>
        <v/>
      </c>
      <c r="F383" s="29"/>
      <c r="G383" s="29"/>
      <c r="H383" s="29"/>
    </row>
    <row r="384" ht="15.75" customHeight="1">
      <c r="A384" s="3"/>
      <c r="B384" s="29"/>
      <c r="C384" s="4"/>
      <c r="D384" s="30" t="str">
        <f t="array" ref="D384">IF(C384="","",IFERROR(INDEX(PRODUCTORES!$B:$B, MATCH(C384, PRODUCTORES!$F:$F, 0)) &amp; " " &amp; INDEX(PRODUCTORES!$C:$C, MATCH(C384, PRODUCTORES!$F:$F, 0)), IFERROR(INDEX(PRODUCTORES!$B:$B, MATCH(C384, PRODUCTORES!$A:$A, 0)) &amp; " " &amp; INDEX(PRODUCTORES!$C:$C, MATCH(C384, PRODUCTORES!$A:$A, 0)), IFERROR(TRIM(MID(C384, SEARCH(" - ", C384) + 3, 100)), "NO ENCONTRADO"))))</f>
        <v/>
      </c>
      <c r="E384" s="31" t="str">
        <f t="array" ref="E384">IF(C384="","",IFERROR(INDEX(PRODUCTORES!$D:$D, MATCH(C384, PRODUCTORES!$F:$F, 0)), IFERROR(INDEX(PRODUCTORES!$D:$D, MATCH(IF(ISNUMBER(SEARCH(" - ", C384)), LEFT(C384, SEARCH(" - ", C384) - 1), C384), PRODUCTORES!$A:$A, 0)), "-")))</f>
        <v/>
      </c>
      <c r="F384" s="29"/>
      <c r="G384" s="29"/>
      <c r="H384" s="29"/>
    </row>
    <row r="385" ht="15.75" customHeight="1">
      <c r="A385" s="3"/>
      <c r="B385" s="29"/>
      <c r="C385" s="4"/>
      <c r="D385" s="30" t="str">
        <f t="array" ref="D385">IF(C385="","",IFERROR(INDEX(PRODUCTORES!$B:$B, MATCH(C385, PRODUCTORES!$F:$F, 0)) &amp; " " &amp; INDEX(PRODUCTORES!$C:$C, MATCH(C385, PRODUCTORES!$F:$F, 0)), IFERROR(INDEX(PRODUCTORES!$B:$B, MATCH(C385, PRODUCTORES!$A:$A, 0)) &amp; " " &amp; INDEX(PRODUCTORES!$C:$C, MATCH(C385, PRODUCTORES!$A:$A, 0)), IFERROR(TRIM(MID(C385, SEARCH(" - ", C385) + 3, 100)), "NO ENCONTRADO"))))</f>
        <v/>
      </c>
      <c r="E385" s="31" t="str">
        <f t="array" ref="E385">IF(C385="","",IFERROR(INDEX(PRODUCTORES!$D:$D, MATCH(C385, PRODUCTORES!$F:$F, 0)), IFERROR(INDEX(PRODUCTORES!$D:$D, MATCH(IF(ISNUMBER(SEARCH(" - ", C385)), LEFT(C385, SEARCH(" - ", C385) - 1), C385), PRODUCTORES!$A:$A, 0)), "-")))</f>
        <v/>
      </c>
      <c r="F385" s="29"/>
      <c r="G385" s="29"/>
      <c r="H385" s="29"/>
    </row>
    <row r="386" ht="15.75" customHeight="1">
      <c r="A386" s="3"/>
      <c r="B386" s="29"/>
      <c r="C386" s="4"/>
      <c r="D386" s="30" t="str">
        <f t="array" ref="D386">IF(C386="","",IFERROR(INDEX(PRODUCTORES!$B:$B, MATCH(C386, PRODUCTORES!$F:$F, 0)) &amp; " " &amp; INDEX(PRODUCTORES!$C:$C, MATCH(C386, PRODUCTORES!$F:$F, 0)), IFERROR(INDEX(PRODUCTORES!$B:$B, MATCH(C386, PRODUCTORES!$A:$A, 0)) &amp; " " &amp; INDEX(PRODUCTORES!$C:$C, MATCH(C386, PRODUCTORES!$A:$A, 0)), IFERROR(TRIM(MID(C386, SEARCH(" - ", C386) + 3, 100)), "NO ENCONTRADO"))))</f>
        <v/>
      </c>
      <c r="E386" s="31" t="str">
        <f t="array" ref="E386">IF(C386="","",IFERROR(INDEX(PRODUCTORES!$D:$D, MATCH(C386, PRODUCTORES!$F:$F, 0)), IFERROR(INDEX(PRODUCTORES!$D:$D, MATCH(IF(ISNUMBER(SEARCH(" - ", C386)), LEFT(C386, SEARCH(" - ", C386) - 1), C386), PRODUCTORES!$A:$A, 0)), "-")))</f>
        <v/>
      </c>
      <c r="F386" s="29"/>
      <c r="G386" s="29"/>
      <c r="H386" s="29"/>
    </row>
    <row r="387" ht="15.75" customHeight="1">
      <c r="A387" s="3"/>
      <c r="B387" s="29"/>
      <c r="C387" s="4"/>
      <c r="D387" s="30" t="str">
        <f t="array" ref="D387">IF(C387="","",IFERROR(INDEX(PRODUCTORES!$B:$B, MATCH(C387, PRODUCTORES!$F:$F, 0)) &amp; " " &amp; INDEX(PRODUCTORES!$C:$C, MATCH(C387, PRODUCTORES!$F:$F, 0)), IFERROR(INDEX(PRODUCTORES!$B:$B, MATCH(C387, PRODUCTORES!$A:$A, 0)) &amp; " " &amp; INDEX(PRODUCTORES!$C:$C, MATCH(C387, PRODUCTORES!$A:$A, 0)), IFERROR(TRIM(MID(C387, SEARCH(" - ", C387) + 3, 100)), "NO ENCONTRADO"))))</f>
        <v/>
      </c>
      <c r="E387" s="31" t="str">
        <f t="array" ref="E387">IF(C387="","",IFERROR(INDEX(PRODUCTORES!$D:$D, MATCH(C387, PRODUCTORES!$F:$F, 0)), IFERROR(INDEX(PRODUCTORES!$D:$D, MATCH(IF(ISNUMBER(SEARCH(" - ", C387)), LEFT(C387, SEARCH(" - ", C387) - 1), C387), PRODUCTORES!$A:$A, 0)), "-")))</f>
        <v/>
      </c>
      <c r="F387" s="29"/>
      <c r="G387" s="29"/>
      <c r="H387" s="29"/>
    </row>
    <row r="388" ht="15.75" customHeight="1">
      <c r="A388" s="3"/>
      <c r="B388" s="29"/>
      <c r="C388" s="4"/>
      <c r="D388" s="30" t="str">
        <f t="array" ref="D388">IF(C388="","",IFERROR(INDEX(PRODUCTORES!$B:$B, MATCH(C388, PRODUCTORES!$F:$F, 0)) &amp; " " &amp; INDEX(PRODUCTORES!$C:$C, MATCH(C388, PRODUCTORES!$F:$F, 0)), IFERROR(INDEX(PRODUCTORES!$B:$B, MATCH(C388, PRODUCTORES!$A:$A, 0)) &amp; " " &amp; INDEX(PRODUCTORES!$C:$C, MATCH(C388, PRODUCTORES!$A:$A, 0)), IFERROR(TRIM(MID(C388, SEARCH(" - ", C388) + 3, 100)), "NO ENCONTRADO"))))</f>
        <v/>
      </c>
      <c r="E388" s="31" t="str">
        <f t="array" ref="E388">IF(C388="","",IFERROR(INDEX(PRODUCTORES!$D:$D, MATCH(C388, PRODUCTORES!$F:$F, 0)), IFERROR(INDEX(PRODUCTORES!$D:$D, MATCH(IF(ISNUMBER(SEARCH(" - ", C388)), LEFT(C388, SEARCH(" - ", C388) - 1), C388), PRODUCTORES!$A:$A, 0)), "-")))</f>
        <v/>
      </c>
      <c r="F388" s="29"/>
      <c r="G388" s="29"/>
      <c r="H388" s="29"/>
    </row>
    <row r="389" ht="15.75" customHeight="1">
      <c r="A389" s="3"/>
      <c r="B389" s="29"/>
      <c r="C389" s="4"/>
      <c r="D389" s="30" t="str">
        <f t="array" ref="D389">IF(C389="","",IFERROR(INDEX(PRODUCTORES!$B:$B, MATCH(C389, PRODUCTORES!$F:$F, 0)) &amp; " " &amp; INDEX(PRODUCTORES!$C:$C, MATCH(C389, PRODUCTORES!$F:$F, 0)), IFERROR(INDEX(PRODUCTORES!$B:$B, MATCH(C389, PRODUCTORES!$A:$A, 0)) &amp; " " &amp; INDEX(PRODUCTORES!$C:$C, MATCH(C389, PRODUCTORES!$A:$A, 0)), IFERROR(TRIM(MID(C389, SEARCH(" - ", C389) + 3, 100)), "NO ENCONTRADO"))))</f>
        <v/>
      </c>
      <c r="E389" s="31" t="str">
        <f t="array" ref="E389">IF(C389="","",IFERROR(INDEX(PRODUCTORES!$D:$D, MATCH(C389, PRODUCTORES!$F:$F, 0)), IFERROR(INDEX(PRODUCTORES!$D:$D, MATCH(IF(ISNUMBER(SEARCH(" - ", C389)), LEFT(C389, SEARCH(" - ", C389) - 1), C389), PRODUCTORES!$A:$A, 0)), "-")))</f>
        <v/>
      </c>
      <c r="F389" s="29"/>
      <c r="G389" s="29"/>
      <c r="H389" s="29"/>
    </row>
    <row r="390" ht="15.75" customHeight="1">
      <c r="A390" s="3"/>
      <c r="B390" s="29"/>
      <c r="C390" s="4"/>
      <c r="D390" s="30" t="str">
        <f t="array" ref="D390">IF(C390="","",IFERROR(INDEX(PRODUCTORES!$B:$B, MATCH(C390, PRODUCTORES!$F:$F, 0)) &amp; " " &amp; INDEX(PRODUCTORES!$C:$C, MATCH(C390, PRODUCTORES!$F:$F, 0)), IFERROR(INDEX(PRODUCTORES!$B:$B, MATCH(C390, PRODUCTORES!$A:$A, 0)) &amp; " " &amp; INDEX(PRODUCTORES!$C:$C, MATCH(C390, PRODUCTORES!$A:$A, 0)), IFERROR(TRIM(MID(C390, SEARCH(" - ", C390) + 3, 100)), "NO ENCONTRADO"))))</f>
        <v/>
      </c>
      <c r="E390" s="31" t="str">
        <f t="array" ref="E390">IF(C390="","",IFERROR(INDEX(PRODUCTORES!$D:$D, MATCH(C390, PRODUCTORES!$F:$F, 0)), IFERROR(INDEX(PRODUCTORES!$D:$D, MATCH(IF(ISNUMBER(SEARCH(" - ", C390)), LEFT(C390, SEARCH(" - ", C390) - 1), C390), PRODUCTORES!$A:$A, 0)), "-")))</f>
        <v/>
      </c>
      <c r="F390" s="29"/>
      <c r="G390" s="29"/>
      <c r="H390" s="29"/>
    </row>
    <row r="391" ht="15.75" customHeight="1">
      <c r="A391" s="3"/>
      <c r="B391" s="29"/>
      <c r="C391" s="4"/>
      <c r="D391" s="30" t="str">
        <f t="array" ref="D391">IF(C391="","",IFERROR(INDEX(PRODUCTORES!$B:$B, MATCH(C391, PRODUCTORES!$F:$F, 0)) &amp; " " &amp; INDEX(PRODUCTORES!$C:$C, MATCH(C391, PRODUCTORES!$F:$F, 0)), IFERROR(INDEX(PRODUCTORES!$B:$B, MATCH(C391, PRODUCTORES!$A:$A, 0)) &amp; " " &amp; INDEX(PRODUCTORES!$C:$C, MATCH(C391, PRODUCTORES!$A:$A, 0)), IFERROR(TRIM(MID(C391, SEARCH(" - ", C391) + 3, 100)), "NO ENCONTRADO"))))</f>
        <v/>
      </c>
      <c r="E391" s="31" t="str">
        <f t="array" ref="E391">IF(C391="","",IFERROR(INDEX(PRODUCTORES!$D:$D, MATCH(C391, PRODUCTORES!$F:$F, 0)), IFERROR(INDEX(PRODUCTORES!$D:$D, MATCH(IF(ISNUMBER(SEARCH(" - ", C391)), LEFT(C391, SEARCH(" - ", C391) - 1), C391), PRODUCTORES!$A:$A, 0)), "-")))</f>
        <v/>
      </c>
      <c r="F391" s="29"/>
      <c r="G391" s="29"/>
      <c r="H391" s="29"/>
    </row>
    <row r="392" ht="15.75" customHeight="1">
      <c r="A392" s="3"/>
      <c r="B392" s="29"/>
      <c r="C392" s="4"/>
      <c r="D392" s="30" t="str">
        <f t="array" ref="D392">IF(C392="","",IFERROR(INDEX(PRODUCTORES!$B:$B, MATCH(C392, PRODUCTORES!$F:$F, 0)) &amp; " " &amp; INDEX(PRODUCTORES!$C:$C, MATCH(C392, PRODUCTORES!$F:$F, 0)), IFERROR(INDEX(PRODUCTORES!$B:$B, MATCH(C392, PRODUCTORES!$A:$A, 0)) &amp; " " &amp; INDEX(PRODUCTORES!$C:$C, MATCH(C392, PRODUCTORES!$A:$A, 0)), IFERROR(TRIM(MID(C392, SEARCH(" - ", C392) + 3, 100)), "NO ENCONTRADO"))))</f>
        <v/>
      </c>
      <c r="E392" s="31" t="str">
        <f t="array" ref="E392">IF(C392="","",IFERROR(INDEX(PRODUCTORES!$D:$D, MATCH(C392, PRODUCTORES!$F:$F, 0)), IFERROR(INDEX(PRODUCTORES!$D:$D, MATCH(IF(ISNUMBER(SEARCH(" - ", C392)), LEFT(C392, SEARCH(" - ", C392) - 1), C392), PRODUCTORES!$A:$A, 0)), "-")))</f>
        <v/>
      </c>
      <c r="F392" s="29"/>
      <c r="G392" s="29"/>
      <c r="H392" s="29"/>
    </row>
    <row r="393" ht="15.75" customHeight="1">
      <c r="A393" s="3"/>
      <c r="B393" s="29"/>
      <c r="C393" s="4"/>
      <c r="D393" s="30" t="str">
        <f t="array" ref="D393">IF(C393="","",IFERROR(INDEX(PRODUCTORES!$B:$B, MATCH(C393, PRODUCTORES!$F:$F, 0)) &amp; " " &amp; INDEX(PRODUCTORES!$C:$C, MATCH(C393, PRODUCTORES!$F:$F, 0)), IFERROR(INDEX(PRODUCTORES!$B:$B, MATCH(C393, PRODUCTORES!$A:$A, 0)) &amp; " " &amp; INDEX(PRODUCTORES!$C:$C, MATCH(C393, PRODUCTORES!$A:$A, 0)), IFERROR(TRIM(MID(C393, SEARCH(" - ", C393) + 3, 100)), "NO ENCONTRADO"))))</f>
        <v/>
      </c>
      <c r="E393" s="31" t="str">
        <f t="array" ref="E393">IF(C393="","",IFERROR(INDEX(PRODUCTORES!$D:$D, MATCH(C393, PRODUCTORES!$F:$F, 0)), IFERROR(INDEX(PRODUCTORES!$D:$D, MATCH(IF(ISNUMBER(SEARCH(" - ", C393)), LEFT(C393, SEARCH(" - ", C393) - 1), C393), PRODUCTORES!$A:$A, 0)), "-")))</f>
        <v/>
      </c>
      <c r="F393" s="29"/>
      <c r="G393" s="29"/>
      <c r="H393" s="29"/>
    </row>
    <row r="394" ht="15.75" customHeight="1">
      <c r="A394" s="3"/>
      <c r="B394" s="29"/>
      <c r="C394" s="4"/>
      <c r="D394" s="30" t="str">
        <f t="array" ref="D394">IF(C394="","",IFERROR(INDEX(PRODUCTORES!$B:$B, MATCH(C394, PRODUCTORES!$F:$F, 0)) &amp; " " &amp; INDEX(PRODUCTORES!$C:$C, MATCH(C394, PRODUCTORES!$F:$F, 0)), IFERROR(INDEX(PRODUCTORES!$B:$B, MATCH(C394, PRODUCTORES!$A:$A, 0)) &amp; " " &amp; INDEX(PRODUCTORES!$C:$C, MATCH(C394, PRODUCTORES!$A:$A, 0)), IFERROR(TRIM(MID(C394, SEARCH(" - ", C394) + 3, 100)), "NO ENCONTRADO"))))</f>
        <v/>
      </c>
      <c r="E394" s="31" t="str">
        <f t="array" ref="E394">IF(C394="","",IFERROR(INDEX(PRODUCTORES!$D:$D, MATCH(C394, PRODUCTORES!$F:$F, 0)), IFERROR(INDEX(PRODUCTORES!$D:$D, MATCH(IF(ISNUMBER(SEARCH(" - ", C394)), LEFT(C394, SEARCH(" - ", C394) - 1), C394), PRODUCTORES!$A:$A, 0)), "-")))</f>
        <v/>
      </c>
      <c r="F394" s="29"/>
      <c r="G394" s="29"/>
      <c r="H394" s="29"/>
    </row>
    <row r="395" ht="15.75" customHeight="1">
      <c r="A395" s="3"/>
      <c r="B395" s="29"/>
      <c r="C395" s="4"/>
      <c r="D395" s="30" t="str">
        <f t="array" ref="D395">IF(C395="","",IFERROR(INDEX(PRODUCTORES!$B:$B, MATCH(C395, PRODUCTORES!$F:$F, 0)) &amp; " " &amp; INDEX(PRODUCTORES!$C:$C, MATCH(C395, PRODUCTORES!$F:$F, 0)), IFERROR(INDEX(PRODUCTORES!$B:$B, MATCH(C395, PRODUCTORES!$A:$A, 0)) &amp; " " &amp; INDEX(PRODUCTORES!$C:$C, MATCH(C395, PRODUCTORES!$A:$A, 0)), IFERROR(TRIM(MID(C395, SEARCH(" - ", C395) + 3, 100)), "NO ENCONTRADO"))))</f>
        <v/>
      </c>
      <c r="E395" s="31" t="str">
        <f t="array" ref="E395">IF(C395="","",IFERROR(INDEX(PRODUCTORES!$D:$D, MATCH(C395, PRODUCTORES!$F:$F, 0)), IFERROR(INDEX(PRODUCTORES!$D:$D, MATCH(IF(ISNUMBER(SEARCH(" - ", C395)), LEFT(C395, SEARCH(" - ", C395) - 1), C395), PRODUCTORES!$A:$A, 0)), "-")))</f>
        <v/>
      </c>
      <c r="F395" s="29"/>
      <c r="G395" s="29"/>
      <c r="H395" s="29"/>
    </row>
    <row r="396" ht="15.75" customHeight="1">
      <c r="A396" s="3"/>
      <c r="B396" s="29"/>
      <c r="C396" s="4"/>
      <c r="D396" s="30" t="str">
        <f t="array" ref="D396">IF(C396="","",IFERROR(INDEX(PRODUCTORES!$B:$B, MATCH(C396, PRODUCTORES!$F:$F, 0)) &amp; " " &amp; INDEX(PRODUCTORES!$C:$C, MATCH(C396, PRODUCTORES!$F:$F, 0)), IFERROR(INDEX(PRODUCTORES!$B:$B, MATCH(C396, PRODUCTORES!$A:$A, 0)) &amp; " " &amp; INDEX(PRODUCTORES!$C:$C, MATCH(C396, PRODUCTORES!$A:$A, 0)), IFERROR(TRIM(MID(C396, SEARCH(" - ", C396) + 3, 100)), "NO ENCONTRADO"))))</f>
        <v/>
      </c>
      <c r="E396" s="31" t="str">
        <f t="array" ref="E396">IF(C396="","",IFERROR(INDEX(PRODUCTORES!$D:$D, MATCH(C396, PRODUCTORES!$F:$F, 0)), IFERROR(INDEX(PRODUCTORES!$D:$D, MATCH(IF(ISNUMBER(SEARCH(" - ", C396)), LEFT(C396, SEARCH(" - ", C396) - 1), C396), PRODUCTORES!$A:$A, 0)), "-")))</f>
        <v/>
      </c>
      <c r="F396" s="29"/>
      <c r="G396" s="29"/>
      <c r="H396" s="29"/>
    </row>
    <row r="397" ht="15.75" customHeight="1">
      <c r="A397" s="3"/>
      <c r="B397" s="29"/>
      <c r="C397" s="4"/>
      <c r="D397" s="30" t="str">
        <f t="array" ref="D397">IF(C397="","",IFERROR(INDEX(PRODUCTORES!$B:$B, MATCH(C397, PRODUCTORES!$F:$F, 0)) &amp; " " &amp; INDEX(PRODUCTORES!$C:$C, MATCH(C397, PRODUCTORES!$F:$F, 0)), IFERROR(INDEX(PRODUCTORES!$B:$B, MATCH(C397, PRODUCTORES!$A:$A, 0)) &amp; " " &amp; INDEX(PRODUCTORES!$C:$C, MATCH(C397, PRODUCTORES!$A:$A, 0)), IFERROR(TRIM(MID(C397, SEARCH(" - ", C397) + 3, 100)), "NO ENCONTRADO"))))</f>
        <v/>
      </c>
      <c r="E397" s="31" t="str">
        <f t="array" ref="E397">IF(C397="","",IFERROR(INDEX(PRODUCTORES!$D:$D, MATCH(C397, PRODUCTORES!$F:$F, 0)), IFERROR(INDEX(PRODUCTORES!$D:$D, MATCH(IF(ISNUMBER(SEARCH(" - ", C397)), LEFT(C397, SEARCH(" - ", C397) - 1), C397), PRODUCTORES!$A:$A, 0)), "-")))</f>
        <v/>
      </c>
      <c r="F397" s="29"/>
      <c r="G397" s="29"/>
      <c r="H397" s="29"/>
    </row>
    <row r="398" ht="15.75" customHeight="1">
      <c r="A398" s="3"/>
      <c r="B398" s="29"/>
      <c r="C398" s="4"/>
      <c r="D398" s="30" t="str">
        <f t="array" ref="D398">IF(C398="","",IFERROR(INDEX(PRODUCTORES!$B:$B, MATCH(C398, PRODUCTORES!$F:$F, 0)) &amp; " " &amp; INDEX(PRODUCTORES!$C:$C, MATCH(C398, PRODUCTORES!$F:$F, 0)), IFERROR(INDEX(PRODUCTORES!$B:$B, MATCH(C398, PRODUCTORES!$A:$A, 0)) &amp; " " &amp; INDEX(PRODUCTORES!$C:$C, MATCH(C398, PRODUCTORES!$A:$A, 0)), IFERROR(TRIM(MID(C398, SEARCH(" - ", C398) + 3, 100)), "NO ENCONTRADO"))))</f>
        <v/>
      </c>
      <c r="E398" s="31" t="str">
        <f t="array" ref="E398">IF(C398="","",IFERROR(INDEX(PRODUCTORES!$D:$D, MATCH(C398, PRODUCTORES!$F:$F, 0)), IFERROR(INDEX(PRODUCTORES!$D:$D, MATCH(IF(ISNUMBER(SEARCH(" - ", C398)), LEFT(C398, SEARCH(" - ", C398) - 1), C398), PRODUCTORES!$A:$A, 0)), "-")))</f>
        <v/>
      </c>
      <c r="F398" s="29"/>
      <c r="G398" s="29"/>
      <c r="H398" s="29"/>
    </row>
    <row r="399" ht="15.75" customHeight="1">
      <c r="A399" s="3"/>
      <c r="B399" s="29"/>
      <c r="C399" s="4"/>
      <c r="D399" s="30" t="str">
        <f t="array" ref="D399">IF(C399="","",IFERROR(INDEX(PRODUCTORES!$B:$B, MATCH(C399, PRODUCTORES!$F:$F, 0)) &amp; " " &amp; INDEX(PRODUCTORES!$C:$C, MATCH(C399, PRODUCTORES!$F:$F, 0)), IFERROR(INDEX(PRODUCTORES!$B:$B, MATCH(C399, PRODUCTORES!$A:$A, 0)) &amp; " " &amp; INDEX(PRODUCTORES!$C:$C, MATCH(C399, PRODUCTORES!$A:$A, 0)), IFERROR(TRIM(MID(C399, SEARCH(" - ", C399) + 3, 100)), "NO ENCONTRADO"))))</f>
        <v/>
      </c>
      <c r="E399" s="31" t="str">
        <f t="array" ref="E399">IF(C399="","",IFERROR(INDEX(PRODUCTORES!$D:$D, MATCH(C399, PRODUCTORES!$F:$F, 0)), IFERROR(INDEX(PRODUCTORES!$D:$D, MATCH(IF(ISNUMBER(SEARCH(" - ", C399)), LEFT(C399, SEARCH(" - ", C399) - 1), C399), PRODUCTORES!$A:$A, 0)), "-")))</f>
        <v/>
      </c>
      <c r="F399" s="29"/>
      <c r="G399" s="29"/>
      <c r="H399" s="29"/>
    </row>
    <row r="400" ht="15.75" customHeight="1">
      <c r="A400" s="19"/>
      <c r="B400" s="11"/>
      <c r="C400" s="33"/>
      <c r="D400" s="34" t="str">
        <f t="array" ref="D400">IF(C400="","",IFERROR(INDEX(PRODUCTORES!$B:$B, MATCH(C400, PRODUCTORES!$F:$F, 0)) &amp; " " &amp; INDEX(PRODUCTORES!$C:$C, MATCH(C400, PRODUCTORES!$F:$F, 0)), IFERROR(INDEX(PRODUCTORES!$B:$B, MATCH(C400, PRODUCTORES!$A:$A, 0)) &amp; " " &amp; INDEX(PRODUCTORES!$C:$C, MATCH(C400, PRODUCTORES!$A:$A, 0)), IFERROR(TRIM(MID(C400, SEARCH(" - ", C400) + 3, 100)), "NO ENCONTRADO"))))</f>
        <v/>
      </c>
      <c r="E400" s="34" t="str">
        <f t="array" ref="E400">IF(C400="","",IFERROR(INDEX(PRODUCTORES!$D:$D, MATCH(C400, PRODUCTORES!$F:$F, 0)), IFERROR(INDEX(PRODUCTORES!$D:$D, MATCH(IF(ISNUMBER(SEARCH(" - ", C400)), LEFT(C400, SEARCH(" - ", C400) - 1), C400), PRODUCTORES!$A:$A, 0)), "-")))</f>
        <v/>
      </c>
      <c r="F400" s="11"/>
      <c r="G400" s="11"/>
    </row>
    <row r="401" ht="15.75" customHeight="1">
      <c r="A401" s="19"/>
      <c r="B401" s="11"/>
      <c r="C401" s="33"/>
      <c r="D401" s="34" t="str">
        <f t="array" ref="D401">IF(C401="","",IFERROR(INDEX(PRODUCTORES!$B:$B, MATCH(C401, PRODUCTORES!$F:$F, 0)) &amp; " " &amp; INDEX(PRODUCTORES!$C:$C, MATCH(C401, PRODUCTORES!$F:$F, 0)), IFERROR(INDEX(PRODUCTORES!$B:$B, MATCH(C401, PRODUCTORES!$A:$A, 0)) &amp; " " &amp; INDEX(PRODUCTORES!$C:$C, MATCH(C401, PRODUCTORES!$A:$A, 0)), IFERROR(TRIM(MID(C401, SEARCH(" - ", C401) + 3, 100)), "NO ENCONTRADO"))))</f>
        <v/>
      </c>
      <c r="E401" s="34" t="str">
        <f t="array" ref="E401">IF(C401="","",IFERROR(INDEX(PRODUCTORES!$D:$D, MATCH(C401, PRODUCTORES!$F:$F, 0)), IFERROR(INDEX(PRODUCTORES!$D:$D, MATCH(IF(ISNUMBER(SEARCH(" - ", C401)), LEFT(C401, SEARCH(" - ", C401) - 1), C401), PRODUCTORES!$A:$A, 0)), "-")))</f>
        <v/>
      </c>
      <c r="F401" s="11"/>
      <c r="G401" s="11"/>
    </row>
    <row r="402" ht="15.75" customHeight="1">
      <c r="A402" s="19"/>
      <c r="B402" s="11"/>
      <c r="C402" s="33"/>
      <c r="D402" s="34" t="str">
        <f t="array" ref="D402">IF(C402="","",IFERROR(INDEX(PRODUCTORES!$B:$B, MATCH(C402, PRODUCTORES!$F:$F, 0)) &amp; " " &amp; INDEX(PRODUCTORES!$C:$C, MATCH(C402, PRODUCTORES!$F:$F, 0)), IFERROR(INDEX(PRODUCTORES!$B:$B, MATCH(C402, PRODUCTORES!$A:$A, 0)) &amp; " " &amp; INDEX(PRODUCTORES!$C:$C, MATCH(C402, PRODUCTORES!$A:$A, 0)), IFERROR(TRIM(MID(C402, SEARCH(" - ", C402) + 3, 100)), "NO ENCONTRADO"))))</f>
        <v/>
      </c>
      <c r="E402" s="34" t="str">
        <f t="array" ref="E402">IF(C402="","",IFERROR(INDEX(PRODUCTORES!$D:$D, MATCH(C402, PRODUCTORES!$F:$F, 0)), IFERROR(INDEX(PRODUCTORES!$D:$D, MATCH(IF(ISNUMBER(SEARCH(" - ", C402)), LEFT(C402, SEARCH(" - ", C402) - 1), C402), PRODUCTORES!$A:$A, 0)), "-")))</f>
        <v/>
      </c>
      <c r="F402" s="11"/>
      <c r="G402" s="11"/>
    </row>
    <row r="403" ht="15.75" customHeight="1">
      <c r="A403" s="19"/>
      <c r="B403" s="11"/>
      <c r="C403" s="33"/>
      <c r="D403" s="34" t="str">
        <f t="array" ref="D403">IF(C403="","",IFERROR(INDEX(PRODUCTORES!$B:$B, MATCH(C403, PRODUCTORES!$F:$F, 0)) &amp; " " &amp; INDEX(PRODUCTORES!$C:$C, MATCH(C403, PRODUCTORES!$F:$F, 0)), IFERROR(INDEX(PRODUCTORES!$B:$B, MATCH(C403, PRODUCTORES!$A:$A, 0)) &amp; " " &amp; INDEX(PRODUCTORES!$C:$C, MATCH(C403, PRODUCTORES!$A:$A, 0)), IFERROR(TRIM(MID(C403, SEARCH(" - ", C403) + 3, 100)), "NO ENCONTRADO"))))</f>
        <v/>
      </c>
      <c r="E403" s="34" t="str">
        <f t="array" ref="E403">IF(C403="","",IFERROR(INDEX(PRODUCTORES!$D:$D, MATCH(C403, PRODUCTORES!$F:$F, 0)), IFERROR(INDEX(PRODUCTORES!$D:$D, MATCH(IF(ISNUMBER(SEARCH(" - ", C403)), LEFT(C403, SEARCH(" - ", C403) - 1), C403), PRODUCTORES!$A:$A, 0)), "-")))</f>
        <v/>
      </c>
      <c r="F403" s="11"/>
      <c r="G403" s="11"/>
    </row>
    <row r="404" ht="15.75" customHeight="1">
      <c r="A404" s="19"/>
      <c r="B404" s="11"/>
      <c r="C404" s="33"/>
      <c r="D404" s="34" t="str">
        <f t="array" ref="D404">IF(C404="","",IFERROR(INDEX(PRODUCTORES!$B:$B, MATCH(C404, PRODUCTORES!$F:$F, 0)) &amp; " " &amp; INDEX(PRODUCTORES!$C:$C, MATCH(C404, PRODUCTORES!$F:$F, 0)), IFERROR(INDEX(PRODUCTORES!$B:$B, MATCH(C404, PRODUCTORES!$A:$A, 0)) &amp; " " &amp; INDEX(PRODUCTORES!$C:$C, MATCH(C404, PRODUCTORES!$A:$A, 0)), IFERROR(TRIM(MID(C404, SEARCH(" - ", C404) + 3, 100)), "NO ENCONTRADO"))))</f>
        <v/>
      </c>
      <c r="E404" s="34" t="str">
        <f t="array" ref="E404">IF(C404="","",IFERROR(INDEX(PRODUCTORES!$D:$D, MATCH(C404, PRODUCTORES!$F:$F, 0)), IFERROR(INDEX(PRODUCTORES!$D:$D, MATCH(IF(ISNUMBER(SEARCH(" - ", C404)), LEFT(C404, SEARCH(" - ", C404) - 1), C404), PRODUCTORES!$A:$A, 0)), "-")))</f>
        <v/>
      </c>
      <c r="F404" s="11"/>
      <c r="G404" s="11"/>
    </row>
    <row r="405" ht="15.75" customHeight="1">
      <c r="A405" s="19"/>
      <c r="B405" s="11"/>
      <c r="C405" s="33"/>
      <c r="D405" s="34" t="str">
        <f t="array" ref="D405">IF(C405="","",IFERROR(INDEX(PRODUCTORES!$B:$B, MATCH(C405, PRODUCTORES!$F:$F, 0)) &amp; " " &amp; INDEX(PRODUCTORES!$C:$C, MATCH(C405, PRODUCTORES!$F:$F, 0)), IFERROR(INDEX(PRODUCTORES!$B:$B, MATCH(C405, PRODUCTORES!$A:$A, 0)) &amp; " " &amp; INDEX(PRODUCTORES!$C:$C, MATCH(C405, PRODUCTORES!$A:$A, 0)), IFERROR(TRIM(MID(C405, SEARCH(" - ", C405) + 3, 100)), "NO ENCONTRADO"))))</f>
        <v/>
      </c>
      <c r="E405" s="34" t="str">
        <f t="array" ref="E405">IF(C405="","",IFERROR(INDEX(PRODUCTORES!$D:$D, MATCH(C405, PRODUCTORES!$F:$F, 0)), IFERROR(INDEX(PRODUCTORES!$D:$D, MATCH(IF(ISNUMBER(SEARCH(" - ", C405)), LEFT(C405, SEARCH(" - ", C405) - 1), C405), PRODUCTORES!$A:$A, 0)), "-")))</f>
        <v/>
      </c>
      <c r="F405" s="11"/>
      <c r="G405" s="11"/>
    </row>
    <row r="406" ht="15.75" customHeight="1">
      <c r="A406" s="19"/>
      <c r="B406" s="11"/>
      <c r="C406" s="33"/>
      <c r="D406" s="34" t="str">
        <f t="array" ref="D406">IF(C406="","",IFERROR(INDEX(PRODUCTORES!$B:$B, MATCH(C406, PRODUCTORES!$F:$F, 0)) &amp; " " &amp; INDEX(PRODUCTORES!$C:$C, MATCH(C406, PRODUCTORES!$F:$F, 0)), IFERROR(INDEX(PRODUCTORES!$B:$B, MATCH(C406, PRODUCTORES!$A:$A, 0)) &amp; " " &amp; INDEX(PRODUCTORES!$C:$C, MATCH(C406, PRODUCTORES!$A:$A, 0)), IFERROR(TRIM(MID(C406, SEARCH(" - ", C406) + 3, 100)), "NO ENCONTRADO"))))</f>
        <v/>
      </c>
      <c r="E406" s="34" t="str">
        <f t="array" ref="E406">IF(C406="","",IFERROR(INDEX(PRODUCTORES!$D:$D, MATCH(C406, PRODUCTORES!$F:$F, 0)), IFERROR(INDEX(PRODUCTORES!$D:$D, MATCH(IF(ISNUMBER(SEARCH(" - ", C406)), LEFT(C406, SEARCH(" - ", C406) - 1), C406), PRODUCTORES!$A:$A, 0)), "-")))</f>
        <v/>
      </c>
      <c r="F406" s="11"/>
      <c r="G406" s="11"/>
    </row>
    <row r="407" ht="15.75" customHeight="1">
      <c r="A407" s="19"/>
      <c r="B407" s="11"/>
      <c r="C407" s="33"/>
      <c r="D407" s="34" t="str">
        <f t="array" ref="D407">IF(C407="","",IFERROR(INDEX(PRODUCTORES!$B:$B, MATCH(C407, PRODUCTORES!$F:$F, 0)) &amp; " " &amp; INDEX(PRODUCTORES!$C:$C, MATCH(C407, PRODUCTORES!$F:$F, 0)), IFERROR(INDEX(PRODUCTORES!$B:$B, MATCH(C407, PRODUCTORES!$A:$A, 0)) &amp; " " &amp; INDEX(PRODUCTORES!$C:$C, MATCH(C407, PRODUCTORES!$A:$A, 0)), IFERROR(TRIM(MID(C407, SEARCH(" - ", C407) + 3, 100)), "NO ENCONTRADO"))))</f>
        <v/>
      </c>
      <c r="E407" s="34" t="str">
        <f t="array" ref="E407">IF(C407="","",IFERROR(INDEX(PRODUCTORES!$D:$D, MATCH(C407, PRODUCTORES!$F:$F, 0)), IFERROR(INDEX(PRODUCTORES!$D:$D, MATCH(IF(ISNUMBER(SEARCH(" - ", C407)), LEFT(C407, SEARCH(" - ", C407) - 1), C407), PRODUCTORES!$A:$A, 0)), "-")))</f>
        <v/>
      </c>
      <c r="F407" s="11"/>
      <c r="G407" s="11"/>
    </row>
    <row r="408" ht="15.75" customHeight="1">
      <c r="A408" s="19"/>
      <c r="B408" s="11"/>
      <c r="C408" s="33"/>
      <c r="D408" s="34" t="str">
        <f t="array" ref="D408">IF(C408="","",IFERROR(INDEX(PRODUCTORES!$B:$B, MATCH(C408, PRODUCTORES!$F:$F, 0)) &amp; " " &amp; INDEX(PRODUCTORES!$C:$C, MATCH(C408, PRODUCTORES!$F:$F, 0)), IFERROR(INDEX(PRODUCTORES!$B:$B, MATCH(C408, PRODUCTORES!$A:$A, 0)) &amp; " " &amp; INDEX(PRODUCTORES!$C:$C, MATCH(C408, PRODUCTORES!$A:$A, 0)), IFERROR(TRIM(MID(C408, SEARCH(" - ", C408) + 3, 100)), "NO ENCONTRADO"))))</f>
        <v/>
      </c>
      <c r="E408" s="34" t="str">
        <f t="array" ref="E408">IF(C408="","",IFERROR(INDEX(PRODUCTORES!$D:$D, MATCH(C408, PRODUCTORES!$F:$F, 0)), IFERROR(INDEX(PRODUCTORES!$D:$D, MATCH(IF(ISNUMBER(SEARCH(" - ", C408)), LEFT(C408, SEARCH(" - ", C408) - 1), C408), PRODUCTORES!$A:$A, 0)), "-")))</f>
        <v/>
      </c>
      <c r="F408" s="11"/>
      <c r="G408" s="11"/>
    </row>
    <row r="409" ht="15.75" customHeight="1">
      <c r="A409" s="19"/>
      <c r="B409" s="11"/>
      <c r="C409" s="33"/>
      <c r="D409" s="34" t="str">
        <f t="array" ref="D409">IF(C409="","",IFERROR(INDEX(PRODUCTORES!$B:$B, MATCH(C409, PRODUCTORES!$F:$F, 0)) &amp; " " &amp; INDEX(PRODUCTORES!$C:$C, MATCH(C409, PRODUCTORES!$F:$F, 0)), IFERROR(INDEX(PRODUCTORES!$B:$B, MATCH(C409, PRODUCTORES!$A:$A, 0)) &amp; " " &amp; INDEX(PRODUCTORES!$C:$C, MATCH(C409, PRODUCTORES!$A:$A, 0)), IFERROR(TRIM(MID(C409, SEARCH(" - ", C409) + 3, 100)), "NO ENCONTRADO"))))</f>
        <v/>
      </c>
      <c r="E409" s="34" t="str">
        <f t="array" ref="E409">IF(C409="","",IFERROR(INDEX(PRODUCTORES!$D:$D, MATCH(C409, PRODUCTORES!$F:$F, 0)), IFERROR(INDEX(PRODUCTORES!$D:$D, MATCH(IF(ISNUMBER(SEARCH(" - ", C409)), LEFT(C409, SEARCH(" - ", C409) - 1), C409), PRODUCTORES!$A:$A, 0)), "-")))</f>
        <v/>
      </c>
      <c r="F409" s="11"/>
      <c r="G409" s="11"/>
    </row>
    <row r="410" ht="15.75" customHeight="1">
      <c r="A410" s="19"/>
      <c r="B410" s="11"/>
      <c r="C410" s="33"/>
      <c r="D410" s="34" t="str">
        <f t="array" ref="D410">IF(C410="","",IFERROR(INDEX(PRODUCTORES!$B:$B, MATCH(C410, PRODUCTORES!$F:$F, 0)) &amp; " " &amp; INDEX(PRODUCTORES!$C:$C, MATCH(C410, PRODUCTORES!$F:$F, 0)), IFERROR(INDEX(PRODUCTORES!$B:$B, MATCH(C410, PRODUCTORES!$A:$A, 0)) &amp; " " &amp; INDEX(PRODUCTORES!$C:$C, MATCH(C410, PRODUCTORES!$A:$A, 0)), IFERROR(TRIM(MID(C410, SEARCH(" - ", C410) + 3, 100)), "NO ENCONTRADO"))))</f>
        <v/>
      </c>
      <c r="E410" s="34" t="str">
        <f t="array" ref="E410">IF(C410="","",IFERROR(INDEX(PRODUCTORES!$D:$D, MATCH(C410, PRODUCTORES!$F:$F, 0)), IFERROR(INDEX(PRODUCTORES!$D:$D, MATCH(IF(ISNUMBER(SEARCH(" - ", C410)), LEFT(C410, SEARCH(" - ", C410) - 1), C410), PRODUCTORES!$A:$A, 0)), "-")))</f>
        <v/>
      </c>
      <c r="F410" s="11"/>
      <c r="G410" s="11"/>
    </row>
    <row r="411" ht="15.75" customHeight="1">
      <c r="A411" s="19"/>
      <c r="B411" s="11"/>
      <c r="C411" s="33"/>
      <c r="D411" s="34" t="str">
        <f t="array" ref="D411">IF(C411="","",IFERROR(INDEX(PRODUCTORES!$B:$B, MATCH(C411, PRODUCTORES!$F:$F, 0)) &amp; " " &amp; INDEX(PRODUCTORES!$C:$C, MATCH(C411, PRODUCTORES!$F:$F, 0)), IFERROR(INDEX(PRODUCTORES!$B:$B, MATCH(C411, PRODUCTORES!$A:$A, 0)) &amp; " " &amp; INDEX(PRODUCTORES!$C:$C, MATCH(C411, PRODUCTORES!$A:$A, 0)), IFERROR(TRIM(MID(C411, SEARCH(" - ", C411) + 3, 100)), "NO ENCONTRADO"))))</f>
        <v/>
      </c>
      <c r="E411" s="34" t="str">
        <f t="array" ref="E411">IF(C411="","",IFERROR(INDEX(PRODUCTORES!$D:$D, MATCH(C411, PRODUCTORES!$F:$F, 0)), IFERROR(INDEX(PRODUCTORES!$D:$D, MATCH(IF(ISNUMBER(SEARCH(" - ", C411)), LEFT(C411, SEARCH(" - ", C411) - 1), C411), PRODUCTORES!$A:$A, 0)), "-")))</f>
        <v/>
      </c>
      <c r="F411" s="11"/>
      <c r="G411" s="11"/>
    </row>
    <row r="412" ht="15.75" customHeight="1">
      <c r="A412" s="19"/>
      <c r="B412" s="11"/>
      <c r="C412" s="33"/>
      <c r="D412" s="34" t="str">
        <f t="array" ref="D412">IF(C412="","",IFERROR(INDEX(PRODUCTORES!$B:$B, MATCH(C412, PRODUCTORES!$F:$F, 0)) &amp; " " &amp; INDEX(PRODUCTORES!$C:$C, MATCH(C412, PRODUCTORES!$F:$F, 0)), IFERROR(INDEX(PRODUCTORES!$B:$B, MATCH(C412, PRODUCTORES!$A:$A, 0)) &amp; " " &amp; INDEX(PRODUCTORES!$C:$C, MATCH(C412, PRODUCTORES!$A:$A, 0)), IFERROR(TRIM(MID(C412, SEARCH(" - ", C412) + 3, 100)), "NO ENCONTRADO"))))</f>
        <v/>
      </c>
      <c r="E412" s="34" t="str">
        <f t="array" ref="E412">IF(C412="","",IFERROR(INDEX(PRODUCTORES!$D:$D, MATCH(C412, PRODUCTORES!$F:$F, 0)), IFERROR(INDEX(PRODUCTORES!$D:$D, MATCH(IF(ISNUMBER(SEARCH(" - ", C412)), LEFT(C412, SEARCH(" - ", C412) - 1), C412), PRODUCTORES!$A:$A, 0)), "-")))</f>
        <v/>
      </c>
      <c r="F412" s="11"/>
      <c r="G412" s="11"/>
    </row>
    <row r="413" ht="15.75" customHeight="1">
      <c r="A413" s="19"/>
      <c r="B413" s="11"/>
      <c r="C413" s="33"/>
      <c r="D413" s="34" t="str">
        <f t="array" ref="D413">IF(C413="","",IFERROR(INDEX(PRODUCTORES!$B:$B, MATCH(C413, PRODUCTORES!$F:$F, 0)) &amp; " " &amp; INDEX(PRODUCTORES!$C:$C, MATCH(C413, PRODUCTORES!$F:$F, 0)), IFERROR(INDEX(PRODUCTORES!$B:$B, MATCH(C413, PRODUCTORES!$A:$A, 0)) &amp; " " &amp; INDEX(PRODUCTORES!$C:$C, MATCH(C413, PRODUCTORES!$A:$A, 0)), IFERROR(TRIM(MID(C413, SEARCH(" - ", C413) + 3, 100)), "NO ENCONTRADO"))))</f>
        <v/>
      </c>
      <c r="E413" s="34" t="str">
        <f t="array" ref="E413">IF(C413="","",IFERROR(INDEX(PRODUCTORES!$D:$D, MATCH(C413, PRODUCTORES!$F:$F, 0)), IFERROR(INDEX(PRODUCTORES!$D:$D, MATCH(IF(ISNUMBER(SEARCH(" - ", C413)), LEFT(C413, SEARCH(" - ", C413) - 1), C413), PRODUCTORES!$A:$A, 0)), "-")))</f>
        <v/>
      </c>
      <c r="F413" s="11"/>
      <c r="G413" s="11"/>
    </row>
    <row r="414" ht="15.75" customHeight="1">
      <c r="A414" s="19"/>
      <c r="B414" s="11"/>
      <c r="C414" s="33"/>
      <c r="D414" s="34" t="str">
        <f t="array" ref="D414">IF(C414="","",IFERROR(INDEX(PRODUCTORES!$B:$B, MATCH(C414, PRODUCTORES!$F:$F, 0)) &amp; " " &amp; INDEX(PRODUCTORES!$C:$C, MATCH(C414, PRODUCTORES!$F:$F, 0)), IFERROR(INDEX(PRODUCTORES!$B:$B, MATCH(C414, PRODUCTORES!$A:$A, 0)) &amp; " " &amp; INDEX(PRODUCTORES!$C:$C, MATCH(C414, PRODUCTORES!$A:$A, 0)), IFERROR(TRIM(MID(C414, SEARCH(" - ", C414) + 3, 100)), "NO ENCONTRADO"))))</f>
        <v/>
      </c>
      <c r="E414" s="34" t="str">
        <f t="array" ref="E414">IF(C414="","",IFERROR(INDEX(PRODUCTORES!$D:$D, MATCH(C414, PRODUCTORES!$F:$F, 0)), IFERROR(INDEX(PRODUCTORES!$D:$D, MATCH(IF(ISNUMBER(SEARCH(" - ", C414)), LEFT(C414, SEARCH(" - ", C414) - 1), C414), PRODUCTORES!$A:$A, 0)), "-")))</f>
        <v/>
      </c>
      <c r="F414" s="11"/>
      <c r="G414" s="11"/>
    </row>
    <row r="415" ht="15.75" customHeight="1">
      <c r="A415" s="19"/>
      <c r="B415" s="11"/>
      <c r="C415" s="33"/>
      <c r="D415" s="34" t="str">
        <f t="array" ref="D415">IF(C415="","",IFERROR(INDEX(PRODUCTORES!$B:$B, MATCH(C415, PRODUCTORES!$F:$F, 0)) &amp; " " &amp; INDEX(PRODUCTORES!$C:$C, MATCH(C415, PRODUCTORES!$F:$F, 0)), IFERROR(INDEX(PRODUCTORES!$B:$B, MATCH(C415, PRODUCTORES!$A:$A, 0)) &amp; " " &amp; INDEX(PRODUCTORES!$C:$C, MATCH(C415, PRODUCTORES!$A:$A, 0)), IFERROR(TRIM(MID(C415, SEARCH(" - ", C415) + 3, 100)), "NO ENCONTRADO"))))</f>
        <v/>
      </c>
      <c r="E415" s="34" t="str">
        <f t="array" ref="E415">IF(C415="","",IFERROR(INDEX(PRODUCTORES!$D:$D, MATCH(C415, PRODUCTORES!$F:$F, 0)), IFERROR(INDEX(PRODUCTORES!$D:$D, MATCH(IF(ISNUMBER(SEARCH(" - ", C415)), LEFT(C415, SEARCH(" - ", C415) - 1), C415), PRODUCTORES!$A:$A, 0)), "-")))</f>
        <v/>
      </c>
      <c r="F415" s="11"/>
      <c r="G415" s="11"/>
    </row>
    <row r="416" ht="15.75" customHeight="1">
      <c r="A416" s="19"/>
      <c r="B416" s="11"/>
      <c r="C416" s="33"/>
      <c r="D416" s="34" t="str">
        <f t="array" ref="D416">IF(C416="","",IFERROR(INDEX(PRODUCTORES!$B:$B, MATCH(C416, PRODUCTORES!$F:$F, 0)) &amp; " " &amp; INDEX(PRODUCTORES!$C:$C, MATCH(C416, PRODUCTORES!$F:$F, 0)), IFERROR(INDEX(PRODUCTORES!$B:$B, MATCH(C416, PRODUCTORES!$A:$A, 0)) &amp; " " &amp; INDEX(PRODUCTORES!$C:$C, MATCH(C416, PRODUCTORES!$A:$A, 0)), IFERROR(TRIM(MID(C416, SEARCH(" - ", C416) + 3, 100)), "NO ENCONTRADO"))))</f>
        <v/>
      </c>
      <c r="E416" s="34" t="str">
        <f t="array" ref="E416">IF(C416="","",IFERROR(INDEX(PRODUCTORES!$D:$D, MATCH(C416, PRODUCTORES!$F:$F, 0)), IFERROR(INDEX(PRODUCTORES!$D:$D, MATCH(IF(ISNUMBER(SEARCH(" - ", C416)), LEFT(C416, SEARCH(" - ", C416) - 1), C416), PRODUCTORES!$A:$A, 0)), "-")))</f>
        <v/>
      </c>
      <c r="F416" s="11"/>
      <c r="G416" s="11"/>
    </row>
    <row r="417" ht="15.75" customHeight="1">
      <c r="A417" s="19"/>
      <c r="B417" s="11"/>
      <c r="C417" s="33"/>
      <c r="D417" s="34" t="str">
        <f t="array" ref="D417">IF(C417="","",IFERROR(INDEX(PRODUCTORES!$B:$B, MATCH(C417, PRODUCTORES!$F:$F, 0)) &amp; " " &amp; INDEX(PRODUCTORES!$C:$C, MATCH(C417, PRODUCTORES!$F:$F, 0)), IFERROR(INDEX(PRODUCTORES!$B:$B, MATCH(C417, PRODUCTORES!$A:$A, 0)) &amp; " " &amp; INDEX(PRODUCTORES!$C:$C, MATCH(C417, PRODUCTORES!$A:$A, 0)), IFERROR(TRIM(MID(C417, SEARCH(" - ", C417) + 3, 100)), "NO ENCONTRADO"))))</f>
        <v/>
      </c>
      <c r="E417" s="34" t="str">
        <f t="array" ref="E417">IF(C417="","",IFERROR(INDEX(PRODUCTORES!$D:$D, MATCH(C417, PRODUCTORES!$F:$F, 0)), IFERROR(INDEX(PRODUCTORES!$D:$D, MATCH(IF(ISNUMBER(SEARCH(" - ", C417)), LEFT(C417, SEARCH(" - ", C417) - 1), C417), PRODUCTORES!$A:$A, 0)), "-")))</f>
        <v/>
      </c>
      <c r="F417" s="11"/>
      <c r="G417" s="11"/>
    </row>
    <row r="418" ht="15.75" customHeight="1">
      <c r="A418" s="19"/>
      <c r="B418" s="11"/>
      <c r="C418" s="33"/>
      <c r="D418" s="34" t="str">
        <f t="array" ref="D418">IF(C418="","",IFERROR(INDEX(PRODUCTORES!$B:$B, MATCH(C418, PRODUCTORES!$F:$F, 0)) &amp; " " &amp; INDEX(PRODUCTORES!$C:$C, MATCH(C418, PRODUCTORES!$F:$F, 0)), IFERROR(INDEX(PRODUCTORES!$B:$B, MATCH(C418, PRODUCTORES!$A:$A, 0)) &amp; " " &amp; INDEX(PRODUCTORES!$C:$C, MATCH(C418, PRODUCTORES!$A:$A, 0)), IFERROR(TRIM(MID(C418, SEARCH(" - ", C418) + 3, 100)), "NO ENCONTRADO"))))</f>
        <v/>
      </c>
      <c r="E418" s="34" t="str">
        <f t="array" ref="E418">IF(C418="","",IFERROR(INDEX(PRODUCTORES!$D:$D, MATCH(C418, PRODUCTORES!$F:$F, 0)), IFERROR(INDEX(PRODUCTORES!$D:$D, MATCH(IF(ISNUMBER(SEARCH(" - ", C418)), LEFT(C418, SEARCH(" - ", C418) - 1), C418), PRODUCTORES!$A:$A, 0)), "-")))</f>
        <v/>
      </c>
      <c r="F418" s="11"/>
      <c r="G418" s="11"/>
    </row>
    <row r="419" ht="15.75" customHeight="1">
      <c r="A419" s="19"/>
      <c r="B419" s="11"/>
      <c r="C419" s="33"/>
      <c r="D419" s="34" t="str">
        <f t="array" ref="D419">IF(C419="","",IFERROR(INDEX(PRODUCTORES!$B:$B, MATCH(C419, PRODUCTORES!$F:$F, 0)) &amp; " " &amp; INDEX(PRODUCTORES!$C:$C, MATCH(C419, PRODUCTORES!$F:$F, 0)), IFERROR(INDEX(PRODUCTORES!$B:$B, MATCH(C419, PRODUCTORES!$A:$A, 0)) &amp; " " &amp; INDEX(PRODUCTORES!$C:$C, MATCH(C419, PRODUCTORES!$A:$A, 0)), IFERROR(TRIM(MID(C419, SEARCH(" - ", C419) + 3, 100)), "NO ENCONTRADO"))))</f>
        <v/>
      </c>
      <c r="E419" s="34" t="str">
        <f t="array" ref="E419">IF(C419="","",IFERROR(INDEX(PRODUCTORES!$D:$D, MATCH(C419, PRODUCTORES!$F:$F, 0)), IFERROR(INDEX(PRODUCTORES!$D:$D, MATCH(IF(ISNUMBER(SEARCH(" - ", C419)), LEFT(C419, SEARCH(" - ", C419) - 1), C419), PRODUCTORES!$A:$A, 0)), "-")))</f>
        <v/>
      </c>
      <c r="F419" s="11"/>
      <c r="G419" s="11"/>
    </row>
    <row r="420" ht="15.75" customHeight="1">
      <c r="A420" s="19"/>
      <c r="B420" s="11"/>
      <c r="C420" s="33"/>
      <c r="D420" s="34" t="str">
        <f t="array" ref="D420">IF(C420="","",IFERROR(INDEX(PRODUCTORES!$B:$B, MATCH(C420, PRODUCTORES!$F:$F, 0)) &amp; " " &amp; INDEX(PRODUCTORES!$C:$C, MATCH(C420, PRODUCTORES!$F:$F, 0)), IFERROR(INDEX(PRODUCTORES!$B:$B, MATCH(C420, PRODUCTORES!$A:$A, 0)) &amp; " " &amp; INDEX(PRODUCTORES!$C:$C, MATCH(C420, PRODUCTORES!$A:$A, 0)), IFERROR(TRIM(MID(C420, SEARCH(" - ", C420) + 3, 100)), "NO ENCONTRADO"))))</f>
        <v/>
      </c>
      <c r="E420" s="34" t="str">
        <f t="array" ref="E420">IF(C420="","",IFERROR(INDEX(PRODUCTORES!$D:$D, MATCH(C420, PRODUCTORES!$F:$F, 0)), IFERROR(INDEX(PRODUCTORES!$D:$D, MATCH(IF(ISNUMBER(SEARCH(" - ", C420)), LEFT(C420, SEARCH(" - ", C420) - 1), C420), PRODUCTORES!$A:$A, 0)), "-")))</f>
        <v/>
      </c>
      <c r="F420" s="11"/>
      <c r="G420" s="11"/>
    </row>
    <row r="421" ht="15.75" customHeight="1">
      <c r="A421" s="19"/>
      <c r="B421" s="11"/>
      <c r="C421" s="33"/>
      <c r="D421" s="34" t="str">
        <f t="array" ref="D421">IF(C421="","",IFERROR(INDEX(PRODUCTORES!$B:$B, MATCH(C421, PRODUCTORES!$F:$F, 0)) &amp; " " &amp; INDEX(PRODUCTORES!$C:$C, MATCH(C421, PRODUCTORES!$F:$F, 0)), IFERROR(INDEX(PRODUCTORES!$B:$B, MATCH(C421, PRODUCTORES!$A:$A, 0)) &amp; " " &amp; INDEX(PRODUCTORES!$C:$C, MATCH(C421, PRODUCTORES!$A:$A, 0)), IFERROR(TRIM(MID(C421, SEARCH(" - ", C421) + 3, 100)), "NO ENCONTRADO"))))</f>
        <v/>
      </c>
      <c r="E421" s="34" t="str">
        <f t="array" ref="E421">IF(C421="","",IFERROR(INDEX(PRODUCTORES!$D:$D, MATCH(C421, PRODUCTORES!$F:$F, 0)), IFERROR(INDEX(PRODUCTORES!$D:$D, MATCH(IF(ISNUMBER(SEARCH(" - ", C421)), LEFT(C421, SEARCH(" - ", C421) - 1), C421), PRODUCTORES!$A:$A, 0)), "-")))</f>
        <v/>
      </c>
      <c r="F421" s="11"/>
      <c r="G421" s="11"/>
    </row>
    <row r="422" ht="15.75" customHeight="1">
      <c r="A422" s="19"/>
      <c r="B422" s="11"/>
      <c r="C422" s="33"/>
      <c r="D422" s="34" t="str">
        <f t="array" ref="D422">IF(C422="","",IFERROR(INDEX(PRODUCTORES!$B:$B, MATCH(C422, PRODUCTORES!$F:$F, 0)) &amp; " " &amp; INDEX(PRODUCTORES!$C:$C, MATCH(C422, PRODUCTORES!$F:$F, 0)), IFERROR(INDEX(PRODUCTORES!$B:$B, MATCH(C422, PRODUCTORES!$A:$A, 0)) &amp; " " &amp; INDEX(PRODUCTORES!$C:$C, MATCH(C422, PRODUCTORES!$A:$A, 0)), IFERROR(TRIM(MID(C422, SEARCH(" - ", C422) + 3, 100)), "NO ENCONTRADO"))))</f>
        <v/>
      </c>
      <c r="E422" s="34" t="str">
        <f t="array" ref="E422">IF(C422="","",IFERROR(INDEX(PRODUCTORES!$D:$D, MATCH(C422, PRODUCTORES!$F:$F, 0)), IFERROR(INDEX(PRODUCTORES!$D:$D, MATCH(IF(ISNUMBER(SEARCH(" - ", C422)), LEFT(C422, SEARCH(" - ", C422) - 1), C422), PRODUCTORES!$A:$A, 0)), "-")))</f>
        <v/>
      </c>
      <c r="F422" s="11"/>
      <c r="G422" s="11"/>
    </row>
    <row r="423" ht="15.75" customHeight="1">
      <c r="A423" s="19"/>
      <c r="B423" s="11"/>
      <c r="C423" s="33"/>
      <c r="D423" s="34" t="str">
        <f t="array" ref="D423">IF(C423="","",IFERROR(INDEX(PRODUCTORES!$B:$B, MATCH(C423, PRODUCTORES!$F:$F, 0)) &amp; " " &amp; INDEX(PRODUCTORES!$C:$C, MATCH(C423, PRODUCTORES!$F:$F, 0)), IFERROR(INDEX(PRODUCTORES!$B:$B, MATCH(C423, PRODUCTORES!$A:$A, 0)) &amp; " " &amp; INDEX(PRODUCTORES!$C:$C, MATCH(C423, PRODUCTORES!$A:$A, 0)), IFERROR(TRIM(MID(C423, SEARCH(" - ", C423) + 3, 100)), "NO ENCONTRADO"))))</f>
        <v/>
      </c>
      <c r="E423" s="34" t="str">
        <f t="array" ref="E423">IF(C423="","",IFERROR(INDEX(PRODUCTORES!$D:$D, MATCH(C423, PRODUCTORES!$F:$F, 0)), IFERROR(INDEX(PRODUCTORES!$D:$D, MATCH(IF(ISNUMBER(SEARCH(" - ", C423)), LEFT(C423, SEARCH(" - ", C423) - 1), C423), PRODUCTORES!$A:$A, 0)), "-")))</f>
        <v/>
      </c>
      <c r="F423" s="11"/>
      <c r="G423" s="11"/>
    </row>
    <row r="424" ht="15.75" customHeight="1">
      <c r="A424" s="19"/>
      <c r="B424" s="11"/>
      <c r="C424" s="33"/>
      <c r="D424" s="34" t="str">
        <f t="array" ref="D424">IF(C424="","",IFERROR(INDEX(PRODUCTORES!$B:$B, MATCH(C424, PRODUCTORES!$F:$F, 0)) &amp; " " &amp; INDEX(PRODUCTORES!$C:$C, MATCH(C424, PRODUCTORES!$F:$F, 0)), IFERROR(INDEX(PRODUCTORES!$B:$B, MATCH(C424, PRODUCTORES!$A:$A, 0)) &amp; " " &amp; INDEX(PRODUCTORES!$C:$C, MATCH(C424, PRODUCTORES!$A:$A, 0)), IFERROR(TRIM(MID(C424, SEARCH(" - ", C424) + 3, 100)), "NO ENCONTRADO"))))</f>
        <v/>
      </c>
      <c r="E424" s="34" t="str">
        <f t="array" ref="E424">IF(C424="","",IFERROR(INDEX(PRODUCTORES!$D:$D, MATCH(C424, PRODUCTORES!$F:$F, 0)), IFERROR(INDEX(PRODUCTORES!$D:$D, MATCH(IF(ISNUMBER(SEARCH(" - ", C424)), LEFT(C424, SEARCH(" - ", C424) - 1), C424), PRODUCTORES!$A:$A, 0)), "-")))</f>
        <v/>
      </c>
      <c r="F424" s="11"/>
      <c r="G424" s="11"/>
    </row>
    <row r="425" ht="15.75" customHeight="1">
      <c r="A425" s="19"/>
      <c r="B425" s="11"/>
      <c r="C425" s="33"/>
      <c r="D425" s="34" t="str">
        <f t="array" ref="D425">IF(C425="","",IFERROR(INDEX(PRODUCTORES!$B:$B, MATCH(C425, PRODUCTORES!$F:$F, 0)) &amp; " " &amp; INDEX(PRODUCTORES!$C:$C, MATCH(C425, PRODUCTORES!$F:$F, 0)), IFERROR(INDEX(PRODUCTORES!$B:$B, MATCH(C425, PRODUCTORES!$A:$A, 0)) &amp; " " &amp; INDEX(PRODUCTORES!$C:$C, MATCH(C425, PRODUCTORES!$A:$A, 0)), IFERROR(TRIM(MID(C425, SEARCH(" - ", C425) + 3, 100)), "NO ENCONTRADO"))))</f>
        <v/>
      </c>
      <c r="E425" s="34" t="str">
        <f t="array" ref="E425">IF(C425="","",IFERROR(INDEX(PRODUCTORES!$D:$D, MATCH(C425, PRODUCTORES!$F:$F, 0)), IFERROR(INDEX(PRODUCTORES!$D:$D, MATCH(IF(ISNUMBER(SEARCH(" - ", C425)), LEFT(C425, SEARCH(" - ", C425) - 1), C425), PRODUCTORES!$A:$A, 0)), "-")))</f>
        <v/>
      </c>
      <c r="F425" s="11"/>
      <c r="G425" s="11"/>
    </row>
    <row r="426" ht="15.75" customHeight="1">
      <c r="A426" s="19"/>
      <c r="B426" s="11"/>
      <c r="C426" s="33"/>
      <c r="D426" s="34" t="str">
        <f t="array" ref="D426">IF(C426="","",IFERROR(INDEX(PRODUCTORES!$B:$B, MATCH(C426, PRODUCTORES!$F:$F, 0)) &amp; " " &amp; INDEX(PRODUCTORES!$C:$C, MATCH(C426, PRODUCTORES!$F:$F, 0)), IFERROR(INDEX(PRODUCTORES!$B:$B, MATCH(C426, PRODUCTORES!$A:$A, 0)) &amp; " " &amp; INDEX(PRODUCTORES!$C:$C, MATCH(C426, PRODUCTORES!$A:$A, 0)), IFERROR(TRIM(MID(C426, SEARCH(" - ", C426) + 3, 100)), "NO ENCONTRADO"))))</f>
        <v/>
      </c>
      <c r="E426" s="34" t="str">
        <f t="array" ref="E426">IF(C426="","",IFERROR(INDEX(PRODUCTORES!$D:$D, MATCH(C426, PRODUCTORES!$F:$F, 0)), IFERROR(INDEX(PRODUCTORES!$D:$D, MATCH(IF(ISNUMBER(SEARCH(" - ", C426)), LEFT(C426, SEARCH(" - ", C426) - 1), C426), PRODUCTORES!$A:$A, 0)), "-")))</f>
        <v/>
      </c>
      <c r="F426" s="11"/>
      <c r="G426" s="11"/>
    </row>
    <row r="427" ht="15.75" customHeight="1">
      <c r="A427" s="19"/>
      <c r="B427" s="11"/>
      <c r="C427" s="33"/>
      <c r="D427" s="34" t="str">
        <f t="array" ref="D427">IF(C427="","",IFERROR(INDEX(PRODUCTORES!$B:$B, MATCH(C427, PRODUCTORES!$F:$F, 0)) &amp; " " &amp; INDEX(PRODUCTORES!$C:$C, MATCH(C427, PRODUCTORES!$F:$F, 0)), IFERROR(INDEX(PRODUCTORES!$B:$B, MATCH(C427, PRODUCTORES!$A:$A, 0)) &amp; " " &amp; INDEX(PRODUCTORES!$C:$C, MATCH(C427, PRODUCTORES!$A:$A, 0)), IFERROR(TRIM(MID(C427, SEARCH(" - ", C427) + 3, 100)), "NO ENCONTRADO"))))</f>
        <v/>
      </c>
      <c r="E427" s="34" t="str">
        <f t="array" ref="E427">IF(C427="","",IFERROR(INDEX(PRODUCTORES!$D:$D, MATCH(C427, PRODUCTORES!$F:$F, 0)), IFERROR(INDEX(PRODUCTORES!$D:$D, MATCH(IF(ISNUMBER(SEARCH(" - ", C427)), LEFT(C427, SEARCH(" - ", C427) - 1), C427), PRODUCTORES!$A:$A, 0)), "-")))</f>
        <v/>
      </c>
      <c r="F427" s="11"/>
      <c r="G427" s="11"/>
    </row>
    <row r="428" ht="15.75" customHeight="1">
      <c r="A428" s="19"/>
      <c r="B428" s="11"/>
      <c r="C428" s="33"/>
      <c r="D428" s="34" t="str">
        <f t="array" ref="D428">IF(C428="","",IFERROR(INDEX(PRODUCTORES!$B:$B, MATCH(C428, PRODUCTORES!$F:$F, 0)) &amp; " " &amp; INDEX(PRODUCTORES!$C:$C, MATCH(C428, PRODUCTORES!$F:$F, 0)), IFERROR(INDEX(PRODUCTORES!$B:$B, MATCH(C428, PRODUCTORES!$A:$A, 0)) &amp; " " &amp; INDEX(PRODUCTORES!$C:$C, MATCH(C428, PRODUCTORES!$A:$A, 0)), IFERROR(TRIM(MID(C428, SEARCH(" - ", C428) + 3, 100)), "NO ENCONTRADO"))))</f>
        <v/>
      </c>
      <c r="E428" s="34" t="str">
        <f t="array" ref="E428">IF(C428="","",IFERROR(INDEX(PRODUCTORES!$D:$D, MATCH(C428, PRODUCTORES!$F:$F, 0)), IFERROR(INDEX(PRODUCTORES!$D:$D, MATCH(IF(ISNUMBER(SEARCH(" - ", C428)), LEFT(C428, SEARCH(" - ", C428) - 1), C428), PRODUCTORES!$A:$A, 0)), "-")))</f>
        <v/>
      </c>
      <c r="F428" s="11"/>
      <c r="G428" s="11"/>
    </row>
    <row r="429" ht="15.75" customHeight="1">
      <c r="A429" s="19"/>
      <c r="B429" s="11"/>
      <c r="C429" s="33"/>
      <c r="D429" s="34" t="str">
        <f t="array" ref="D429">IF(C429="","",IFERROR(INDEX(PRODUCTORES!$B:$B, MATCH(C429, PRODUCTORES!$F:$F, 0)) &amp; " " &amp; INDEX(PRODUCTORES!$C:$C, MATCH(C429, PRODUCTORES!$F:$F, 0)), IFERROR(INDEX(PRODUCTORES!$B:$B, MATCH(C429, PRODUCTORES!$A:$A, 0)) &amp; " " &amp; INDEX(PRODUCTORES!$C:$C, MATCH(C429, PRODUCTORES!$A:$A, 0)), IFERROR(TRIM(MID(C429, SEARCH(" - ", C429) + 3, 100)), "NO ENCONTRADO"))))</f>
        <v/>
      </c>
      <c r="E429" s="34" t="str">
        <f t="array" ref="E429">IF(C429="","",IFERROR(INDEX(PRODUCTORES!$D:$D, MATCH(C429, PRODUCTORES!$F:$F, 0)), IFERROR(INDEX(PRODUCTORES!$D:$D, MATCH(IF(ISNUMBER(SEARCH(" - ", C429)), LEFT(C429, SEARCH(" - ", C429) - 1), C429), PRODUCTORES!$A:$A, 0)), "-")))</f>
        <v/>
      </c>
      <c r="F429" s="11"/>
      <c r="G429" s="11"/>
    </row>
    <row r="430" ht="15.75" customHeight="1">
      <c r="A430" s="19"/>
      <c r="B430" s="11"/>
      <c r="C430" s="33"/>
      <c r="D430" s="34" t="str">
        <f t="array" ref="D430">IF(C430="","",IFERROR(INDEX(PRODUCTORES!$B:$B, MATCH(C430, PRODUCTORES!$F:$F, 0)) &amp; " " &amp; INDEX(PRODUCTORES!$C:$C, MATCH(C430, PRODUCTORES!$F:$F, 0)), IFERROR(INDEX(PRODUCTORES!$B:$B, MATCH(C430, PRODUCTORES!$A:$A, 0)) &amp; " " &amp; INDEX(PRODUCTORES!$C:$C, MATCH(C430, PRODUCTORES!$A:$A, 0)), IFERROR(TRIM(MID(C430, SEARCH(" - ", C430) + 3, 100)), "NO ENCONTRADO"))))</f>
        <v/>
      </c>
      <c r="E430" s="34" t="str">
        <f t="array" ref="E430">IF(C430="","",IFERROR(INDEX(PRODUCTORES!$D:$D, MATCH(C430, PRODUCTORES!$F:$F, 0)), IFERROR(INDEX(PRODUCTORES!$D:$D, MATCH(IF(ISNUMBER(SEARCH(" - ", C430)), LEFT(C430, SEARCH(" - ", C430) - 1), C430), PRODUCTORES!$A:$A, 0)), "-")))</f>
        <v/>
      </c>
      <c r="F430" s="11"/>
      <c r="G430" s="11"/>
    </row>
    <row r="431" ht="15.75" customHeight="1">
      <c r="A431" s="19"/>
      <c r="B431" s="11"/>
      <c r="C431" s="33"/>
      <c r="D431" s="34" t="str">
        <f t="array" ref="D431">IF(C431="","",IFERROR(INDEX(PRODUCTORES!$B:$B, MATCH(C431, PRODUCTORES!$F:$F, 0)) &amp; " " &amp; INDEX(PRODUCTORES!$C:$C, MATCH(C431, PRODUCTORES!$F:$F, 0)), IFERROR(INDEX(PRODUCTORES!$B:$B, MATCH(C431, PRODUCTORES!$A:$A, 0)) &amp; " " &amp; INDEX(PRODUCTORES!$C:$C, MATCH(C431, PRODUCTORES!$A:$A, 0)), IFERROR(TRIM(MID(C431, SEARCH(" - ", C431) + 3, 100)), "NO ENCONTRADO"))))</f>
        <v/>
      </c>
      <c r="E431" s="34" t="str">
        <f t="array" ref="E431">IF(C431="","",IFERROR(INDEX(PRODUCTORES!$D:$D, MATCH(C431, PRODUCTORES!$F:$F, 0)), IFERROR(INDEX(PRODUCTORES!$D:$D, MATCH(IF(ISNUMBER(SEARCH(" - ", C431)), LEFT(C431, SEARCH(" - ", C431) - 1), C431), PRODUCTORES!$A:$A, 0)), "-")))</f>
        <v/>
      </c>
      <c r="F431" s="11"/>
      <c r="G431" s="11"/>
    </row>
    <row r="432" ht="15.75" customHeight="1">
      <c r="A432" s="19"/>
      <c r="B432" s="11"/>
      <c r="C432" s="33"/>
      <c r="D432" s="34" t="str">
        <f t="array" ref="D432">IF(C432="","",IFERROR(INDEX(PRODUCTORES!$B:$B, MATCH(C432, PRODUCTORES!$F:$F, 0)) &amp; " " &amp; INDEX(PRODUCTORES!$C:$C, MATCH(C432, PRODUCTORES!$F:$F, 0)), IFERROR(INDEX(PRODUCTORES!$B:$B, MATCH(C432, PRODUCTORES!$A:$A, 0)) &amp; " " &amp; INDEX(PRODUCTORES!$C:$C, MATCH(C432, PRODUCTORES!$A:$A, 0)), IFERROR(TRIM(MID(C432, SEARCH(" - ", C432) + 3, 100)), "NO ENCONTRADO"))))</f>
        <v/>
      </c>
      <c r="E432" s="34" t="str">
        <f t="array" ref="E432">IF(C432="","",IFERROR(INDEX(PRODUCTORES!$D:$D, MATCH(C432, PRODUCTORES!$F:$F, 0)), IFERROR(INDEX(PRODUCTORES!$D:$D, MATCH(IF(ISNUMBER(SEARCH(" - ", C432)), LEFT(C432, SEARCH(" - ", C432) - 1), C432), PRODUCTORES!$A:$A, 0)), "-")))</f>
        <v/>
      </c>
      <c r="F432" s="11"/>
      <c r="G432" s="11"/>
    </row>
    <row r="433" ht="15.75" customHeight="1">
      <c r="A433" s="19"/>
      <c r="B433" s="11"/>
      <c r="C433" s="33"/>
      <c r="D433" s="34" t="str">
        <f t="array" ref="D433">IF(C433="","",IFERROR(INDEX(PRODUCTORES!$B:$B, MATCH(C433, PRODUCTORES!$F:$F, 0)) &amp; " " &amp; INDEX(PRODUCTORES!$C:$C, MATCH(C433, PRODUCTORES!$F:$F, 0)), IFERROR(INDEX(PRODUCTORES!$B:$B, MATCH(C433, PRODUCTORES!$A:$A, 0)) &amp; " " &amp; INDEX(PRODUCTORES!$C:$C, MATCH(C433, PRODUCTORES!$A:$A, 0)), IFERROR(TRIM(MID(C433, SEARCH(" - ", C433) + 3, 100)), "NO ENCONTRADO"))))</f>
        <v/>
      </c>
      <c r="E433" s="34" t="str">
        <f t="array" ref="E433">IF(C433="","",IFERROR(INDEX(PRODUCTORES!$D:$D, MATCH(C433, PRODUCTORES!$F:$F, 0)), IFERROR(INDEX(PRODUCTORES!$D:$D, MATCH(IF(ISNUMBER(SEARCH(" - ", C433)), LEFT(C433, SEARCH(" - ", C433) - 1), C433), PRODUCTORES!$A:$A, 0)), "-")))</f>
        <v/>
      </c>
      <c r="F433" s="11"/>
      <c r="G433" s="11"/>
    </row>
    <row r="434" ht="15.75" customHeight="1">
      <c r="A434" s="19"/>
      <c r="B434" s="11"/>
      <c r="C434" s="33"/>
      <c r="D434" s="34" t="str">
        <f t="array" ref="D434">IF(C434="","",IFERROR(INDEX(PRODUCTORES!$B:$B, MATCH(C434, PRODUCTORES!$F:$F, 0)) &amp; " " &amp; INDEX(PRODUCTORES!$C:$C, MATCH(C434, PRODUCTORES!$F:$F, 0)), IFERROR(INDEX(PRODUCTORES!$B:$B, MATCH(C434, PRODUCTORES!$A:$A, 0)) &amp; " " &amp; INDEX(PRODUCTORES!$C:$C, MATCH(C434, PRODUCTORES!$A:$A, 0)), IFERROR(TRIM(MID(C434, SEARCH(" - ", C434) + 3, 100)), "NO ENCONTRADO"))))</f>
        <v/>
      </c>
      <c r="E434" s="34" t="str">
        <f t="array" ref="E434">IF(C434="","",IFERROR(INDEX(PRODUCTORES!$D:$D, MATCH(C434, PRODUCTORES!$F:$F, 0)), IFERROR(INDEX(PRODUCTORES!$D:$D, MATCH(IF(ISNUMBER(SEARCH(" - ", C434)), LEFT(C434, SEARCH(" - ", C434) - 1), C434), PRODUCTORES!$A:$A, 0)), "-")))</f>
        <v/>
      </c>
      <c r="F434" s="11"/>
      <c r="G434" s="11"/>
    </row>
    <row r="435" ht="15.75" customHeight="1">
      <c r="A435" s="19"/>
      <c r="B435" s="11"/>
      <c r="C435" s="33"/>
      <c r="D435" s="34" t="str">
        <f t="array" ref="D435">IF(C435="","",IFERROR(INDEX(PRODUCTORES!$B:$B, MATCH(C435, PRODUCTORES!$F:$F, 0)) &amp; " " &amp; INDEX(PRODUCTORES!$C:$C, MATCH(C435, PRODUCTORES!$F:$F, 0)), IFERROR(INDEX(PRODUCTORES!$B:$B, MATCH(C435, PRODUCTORES!$A:$A, 0)) &amp; " " &amp; INDEX(PRODUCTORES!$C:$C, MATCH(C435, PRODUCTORES!$A:$A, 0)), IFERROR(TRIM(MID(C435, SEARCH(" - ", C435) + 3, 100)), "NO ENCONTRADO"))))</f>
        <v/>
      </c>
      <c r="E435" s="34" t="str">
        <f t="array" ref="E435">IF(C435="","",IFERROR(INDEX(PRODUCTORES!$D:$D, MATCH(C435, PRODUCTORES!$F:$F, 0)), IFERROR(INDEX(PRODUCTORES!$D:$D, MATCH(IF(ISNUMBER(SEARCH(" - ", C435)), LEFT(C435, SEARCH(" - ", C435) - 1), C435), PRODUCTORES!$A:$A, 0)), "-")))</f>
        <v/>
      </c>
      <c r="F435" s="11"/>
      <c r="G435" s="11"/>
    </row>
    <row r="436" ht="15.75" customHeight="1">
      <c r="A436" s="19"/>
      <c r="B436" s="11"/>
      <c r="C436" s="33"/>
      <c r="D436" s="34" t="str">
        <f t="array" ref="D436">IF(C436="","",IFERROR(INDEX(PRODUCTORES!$B:$B, MATCH(C436, PRODUCTORES!$F:$F, 0)) &amp; " " &amp; INDEX(PRODUCTORES!$C:$C, MATCH(C436, PRODUCTORES!$F:$F, 0)), IFERROR(INDEX(PRODUCTORES!$B:$B, MATCH(C436, PRODUCTORES!$A:$A, 0)) &amp; " " &amp; INDEX(PRODUCTORES!$C:$C, MATCH(C436, PRODUCTORES!$A:$A, 0)), IFERROR(TRIM(MID(C436, SEARCH(" - ", C436) + 3, 100)), "NO ENCONTRADO"))))</f>
        <v/>
      </c>
      <c r="E436" s="34" t="str">
        <f t="array" ref="E436">IF(C436="","",IFERROR(INDEX(PRODUCTORES!$D:$D, MATCH(C436, PRODUCTORES!$F:$F, 0)), IFERROR(INDEX(PRODUCTORES!$D:$D, MATCH(IF(ISNUMBER(SEARCH(" - ", C436)), LEFT(C436, SEARCH(" - ", C436) - 1), C436), PRODUCTORES!$A:$A, 0)), "-")))</f>
        <v/>
      </c>
      <c r="F436" s="11"/>
      <c r="G436" s="11"/>
    </row>
    <row r="437" ht="15.75" customHeight="1">
      <c r="A437" s="19"/>
      <c r="B437" s="11"/>
      <c r="C437" s="33"/>
      <c r="D437" s="34" t="str">
        <f t="array" ref="D437">IF(C437="","",IFERROR(INDEX(PRODUCTORES!$B:$B, MATCH(C437, PRODUCTORES!$F:$F, 0)) &amp; " " &amp; INDEX(PRODUCTORES!$C:$C, MATCH(C437, PRODUCTORES!$F:$F, 0)), IFERROR(INDEX(PRODUCTORES!$B:$B, MATCH(C437, PRODUCTORES!$A:$A, 0)) &amp; " " &amp; INDEX(PRODUCTORES!$C:$C, MATCH(C437, PRODUCTORES!$A:$A, 0)), IFERROR(TRIM(MID(C437, SEARCH(" - ", C437) + 3, 100)), "NO ENCONTRADO"))))</f>
        <v/>
      </c>
      <c r="E437" s="34" t="str">
        <f t="array" ref="E437">IF(C437="","",IFERROR(INDEX(PRODUCTORES!$D:$D, MATCH(C437, PRODUCTORES!$F:$F, 0)), IFERROR(INDEX(PRODUCTORES!$D:$D, MATCH(IF(ISNUMBER(SEARCH(" - ", C437)), LEFT(C437, SEARCH(" - ", C437) - 1), C437), PRODUCTORES!$A:$A, 0)), "-")))</f>
        <v/>
      </c>
      <c r="F437" s="11"/>
      <c r="G437" s="11"/>
    </row>
    <row r="438" ht="15.75" customHeight="1">
      <c r="A438" s="19"/>
      <c r="B438" s="11"/>
      <c r="C438" s="33"/>
      <c r="D438" s="34" t="str">
        <f t="array" ref="D438">IF(C438="","",IFERROR(INDEX(PRODUCTORES!$B:$B, MATCH(C438, PRODUCTORES!$F:$F, 0)) &amp; " " &amp; INDEX(PRODUCTORES!$C:$C, MATCH(C438, PRODUCTORES!$F:$F, 0)), IFERROR(INDEX(PRODUCTORES!$B:$B, MATCH(C438, PRODUCTORES!$A:$A, 0)) &amp; " " &amp; INDEX(PRODUCTORES!$C:$C, MATCH(C438, PRODUCTORES!$A:$A, 0)), IFERROR(TRIM(MID(C438, SEARCH(" - ", C438) + 3, 100)), "NO ENCONTRADO"))))</f>
        <v/>
      </c>
      <c r="E438" s="34" t="str">
        <f t="array" ref="E438">IF(C438="","",IFERROR(INDEX(PRODUCTORES!$D:$D, MATCH(C438, PRODUCTORES!$F:$F, 0)), IFERROR(INDEX(PRODUCTORES!$D:$D, MATCH(IF(ISNUMBER(SEARCH(" - ", C438)), LEFT(C438, SEARCH(" - ", C438) - 1), C438), PRODUCTORES!$A:$A, 0)), "-")))</f>
        <v/>
      </c>
      <c r="F438" s="11"/>
      <c r="G438" s="11"/>
    </row>
    <row r="439" ht="15.75" customHeight="1">
      <c r="A439" s="19"/>
      <c r="B439" s="11"/>
      <c r="C439" s="33"/>
      <c r="D439" s="34" t="str">
        <f t="array" ref="D439">IF(C439="","",IFERROR(INDEX(PRODUCTORES!$B:$B, MATCH(C439, PRODUCTORES!$F:$F, 0)) &amp; " " &amp; INDEX(PRODUCTORES!$C:$C, MATCH(C439, PRODUCTORES!$F:$F, 0)), IFERROR(INDEX(PRODUCTORES!$B:$B, MATCH(C439, PRODUCTORES!$A:$A, 0)) &amp; " " &amp; INDEX(PRODUCTORES!$C:$C, MATCH(C439, PRODUCTORES!$A:$A, 0)), IFERROR(TRIM(MID(C439, SEARCH(" - ", C439) + 3, 100)), "NO ENCONTRADO"))))</f>
        <v/>
      </c>
      <c r="E439" s="34" t="str">
        <f t="array" ref="E439">IF(C439="","",IFERROR(INDEX(PRODUCTORES!$D:$D, MATCH(C439, PRODUCTORES!$F:$F, 0)), IFERROR(INDEX(PRODUCTORES!$D:$D, MATCH(IF(ISNUMBER(SEARCH(" - ", C439)), LEFT(C439, SEARCH(" - ", C439) - 1), C439), PRODUCTORES!$A:$A, 0)), "-")))</f>
        <v/>
      </c>
      <c r="F439" s="11"/>
      <c r="G439" s="11"/>
    </row>
    <row r="440" ht="15.75" customHeight="1">
      <c r="A440" s="19"/>
      <c r="B440" s="11"/>
      <c r="C440" s="33"/>
      <c r="D440" s="34" t="str">
        <f t="array" ref="D440">IF(C440="","",IFERROR(INDEX(PRODUCTORES!$B:$B, MATCH(C440, PRODUCTORES!$F:$F, 0)) &amp; " " &amp; INDEX(PRODUCTORES!$C:$C, MATCH(C440, PRODUCTORES!$F:$F, 0)), IFERROR(INDEX(PRODUCTORES!$B:$B, MATCH(C440, PRODUCTORES!$A:$A, 0)) &amp; " " &amp; INDEX(PRODUCTORES!$C:$C, MATCH(C440, PRODUCTORES!$A:$A, 0)), IFERROR(TRIM(MID(C440, SEARCH(" - ", C440) + 3, 100)), "NO ENCONTRADO"))))</f>
        <v/>
      </c>
      <c r="E440" s="34" t="str">
        <f t="array" ref="E440">IF(C440="","",IFERROR(INDEX(PRODUCTORES!$D:$D, MATCH(C440, PRODUCTORES!$F:$F, 0)), IFERROR(INDEX(PRODUCTORES!$D:$D, MATCH(IF(ISNUMBER(SEARCH(" - ", C440)), LEFT(C440, SEARCH(" - ", C440) - 1), C440), PRODUCTORES!$A:$A, 0)), "-")))</f>
        <v/>
      </c>
      <c r="F440" s="11"/>
      <c r="G440" s="11"/>
    </row>
    <row r="441" ht="15.75" customHeight="1">
      <c r="A441" s="19"/>
      <c r="B441" s="11"/>
      <c r="C441" s="33"/>
      <c r="D441" s="34" t="str">
        <f t="array" ref="D441">IF(C441="","",IFERROR(INDEX(PRODUCTORES!$B:$B, MATCH(C441, PRODUCTORES!$F:$F, 0)) &amp; " " &amp; INDEX(PRODUCTORES!$C:$C, MATCH(C441, PRODUCTORES!$F:$F, 0)), IFERROR(INDEX(PRODUCTORES!$B:$B, MATCH(C441, PRODUCTORES!$A:$A, 0)) &amp; " " &amp; INDEX(PRODUCTORES!$C:$C, MATCH(C441, PRODUCTORES!$A:$A, 0)), IFERROR(TRIM(MID(C441, SEARCH(" - ", C441) + 3, 100)), "NO ENCONTRADO"))))</f>
        <v/>
      </c>
      <c r="E441" s="34" t="str">
        <f t="array" ref="E441">IF(C441="","",IFERROR(INDEX(PRODUCTORES!$D:$D, MATCH(C441, PRODUCTORES!$F:$F, 0)), IFERROR(INDEX(PRODUCTORES!$D:$D, MATCH(IF(ISNUMBER(SEARCH(" - ", C441)), LEFT(C441, SEARCH(" - ", C441) - 1), C441), PRODUCTORES!$A:$A, 0)), "-")))</f>
        <v/>
      </c>
      <c r="F441" s="11"/>
      <c r="G441" s="11"/>
    </row>
    <row r="442" ht="15.75" customHeight="1">
      <c r="A442" s="19"/>
      <c r="B442" s="11"/>
      <c r="C442" s="33"/>
      <c r="D442" s="34" t="str">
        <f t="array" ref="D442">IF(C442="","",IFERROR(INDEX(PRODUCTORES!$B:$B, MATCH(C442, PRODUCTORES!$F:$F, 0)) &amp; " " &amp; INDEX(PRODUCTORES!$C:$C, MATCH(C442, PRODUCTORES!$F:$F, 0)), IFERROR(INDEX(PRODUCTORES!$B:$B, MATCH(C442, PRODUCTORES!$A:$A, 0)) &amp; " " &amp; INDEX(PRODUCTORES!$C:$C, MATCH(C442, PRODUCTORES!$A:$A, 0)), IFERROR(TRIM(MID(C442, SEARCH(" - ", C442) + 3, 100)), "NO ENCONTRADO"))))</f>
        <v/>
      </c>
      <c r="E442" s="34" t="str">
        <f t="array" ref="E442">IF(C442="","",IFERROR(INDEX(PRODUCTORES!$D:$D, MATCH(C442, PRODUCTORES!$F:$F, 0)), IFERROR(INDEX(PRODUCTORES!$D:$D, MATCH(IF(ISNUMBER(SEARCH(" - ", C442)), LEFT(C442, SEARCH(" - ", C442) - 1), C442), PRODUCTORES!$A:$A, 0)), "-")))</f>
        <v/>
      </c>
      <c r="F442" s="11"/>
      <c r="G442" s="11"/>
    </row>
    <row r="443" ht="15.75" customHeight="1">
      <c r="A443" s="19"/>
      <c r="B443" s="11"/>
      <c r="C443" s="33"/>
      <c r="D443" s="34" t="str">
        <f t="array" ref="D443">IF(C443="","",IFERROR(INDEX(PRODUCTORES!$B:$B, MATCH(C443, PRODUCTORES!$F:$F, 0)) &amp; " " &amp; INDEX(PRODUCTORES!$C:$C, MATCH(C443, PRODUCTORES!$F:$F, 0)), IFERROR(INDEX(PRODUCTORES!$B:$B, MATCH(C443, PRODUCTORES!$A:$A, 0)) &amp; " " &amp; INDEX(PRODUCTORES!$C:$C, MATCH(C443, PRODUCTORES!$A:$A, 0)), IFERROR(TRIM(MID(C443, SEARCH(" - ", C443) + 3, 100)), "NO ENCONTRADO"))))</f>
        <v/>
      </c>
      <c r="E443" s="34" t="str">
        <f t="array" ref="E443">IF(C443="","",IFERROR(INDEX(PRODUCTORES!$D:$D, MATCH(C443, PRODUCTORES!$F:$F, 0)), IFERROR(INDEX(PRODUCTORES!$D:$D, MATCH(IF(ISNUMBER(SEARCH(" - ", C443)), LEFT(C443, SEARCH(" - ", C443) - 1), C443), PRODUCTORES!$A:$A, 0)), "-")))</f>
        <v/>
      </c>
      <c r="F443" s="11"/>
      <c r="G443" s="11"/>
    </row>
    <row r="444" ht="15.75" customHeight="1">
      <c r="A444" s="19"/>
      <c r="B444" s="11"/>
      <c r="C444" s="33"/>
      <c r="D444" s="34" t="str">
        <f t="array" ref="D444">IF(C444="","",IFERROR(INDEX(PRODUCTORES!$B:$B, MATCH(C444, PRODUCTORES!$F:$F, 0)) &amp; " " &amp; INDEX(PRODUCTORES!$C:$C, MATCH(C444, PRODUCTORES!$F:$F, 0)), IFERROR(INDEX(PRODUCTORES!$B:$B, MATCH(C444, PRODUCTORES!$A:$A, 0)) &amp; " " &amp; INDEX(PRODUCTORES!$C:$C, MATCH(C444, PRODUCTORES!$A:$A, 0)), IFERROR(TRIM(MID(C444, SEARCH(" - ", C444) + 3, 100)), "NO ENCONTRADO"))))</f>
        <v/>
      </c>
      <c r="E444" s="34" t="str">
        <f t="array" ref="E444">IF(C444="","",IFERROR(INDEX(PRODUCTORES!$D:$D, MATCH(C444, PRODUCTORES!$F:$F, 0)), IFERROR(INDEX(PRODUCTORES!$D:$D, MATCH(IF(ISNUMBER(SEARCH(" - ", C444)), LEFT(C444, SEARCH(" - ", C444) - 1), C444), PRODUCTORES!$A:$A, 0)), "-")))</f>
        <v/>
      </c>
      <c r="F444" s="11"/>
      <c r="G444" s="11"/>
    </row>
    <row r="445" ht="15.75" customHeight="1">
      <c r="A445" s="19"/>
      <c r="B445" s="11"/>
      <c r="C445" s="33"/>
      <c r="D445" s="34" t="str">
        <f t="array" ref="D445">IF(C445="","",IFERROR(INDEX(PRODUCTORES!$B:$B, MATCH(C445, PRODUCTORES!$F:$F, 0)) &amp; " " &amp; INDEX(PRODUCTORES!$C:$C, MATCH(C445, PRODUCTORES!$F:$F, 0)), IFERROR(INDEX(PRODUCTORES!$B:$B, MATCH(C445, PRODUCTORES!$A:$A, 0)) &amp; " " &amp; INDEX(PRODUCTORES!$C:$C, MATCH(C445, PRODUCTORES!$A:$A, 0)), IFERROR(TRIM(MID(C445, SEARCH(" - ", C445) + 3, 100)), "NO ENCONTRADO"))))</f>
        <v/>
      </c>
      <c r="E445" s="34" t="str">
        <f t="array" ref="E445">IF(C445="","",IFERROR(INDEX(PRODUCTORES!$D:$D, MATCH(C445, PRODUCTORES!$F:$F, 0)), IFERROR(INDEX(PRODUCTORES!$D:$D, MATCH(IF(ISNUMBER(SEARCH(" - ", C445)), LEFT(C445, SEARCH(" - ", C445) - 1), C445), PRODUCTORES!$A:$A, 0)), "-")))</f>
        <v/>
      </c>
      <c r="F445" s="11"/>
      <c r="G445" s="11"/>
    </row>
    <row r="446" ht="15.75" customHeight="1">
      <c r="A446" s="19"/>
      <c r="B446" s="11"/>
      <c r="C446" s="33"/>
      <c r="D446" s="34" t="str">
        <f t="array" ref="D446">IF(C446="","",IFERROR(INDEX(PRODUCTORES!$B:$B, MATCH(C446, PRODUCTORES!$F:$F, 0)) &amp; " " &amp; INDEX(PRODUCTORES!$C:$C, MATCH(C446, PRODUCTORES!$F:$F, 0)), IFERROR(INDEX(PRODUCTORES!$B:$B, MATCH(C446, PRODUCTORES!$A:$A, 0)) &amp; " " &amp; INDEX(PRODUCTORES!$C:$C, MATCH(C446, PRODUCTORES!$A:$A, 0)), IFERROR(TRIM(MID(C446, SEARCH(" - ", C446) + 3, 100)), "NO ENCONTRADO"))))</f>
        <v/>
      </c>
      <c r="E446" s="34" t="str">
        <f t="array" ref="E446">IF(C446="","",IFERROR(INDEX(PRODUCTORES!$D:$D, MATCH(C446, PRODUCTORES!$F:$F, 0)), IFERROR(INDEX(PRODUCTORES!$D:$D, MATCH(IF(ISNUMBER(SEARCH(" - ", C446)), LEFT(C446, SEARCH(" - ", C446) - 1), C446), PRODUCTORES!$A:$A, 0)), "-")))</f>
        <v/>
      </c>
      <c r="F446" s="11"/>
      <c r="G446" s="11"/>
    </row>
    <row r="447" ht="15.75" customHeight="1">
      <c r="A447" s="19"/>
      <c r="B447" s="11"/>
      <c r="C447" s="33"/>
      <c r="D447" s="34" t="str">
        <f t="array" ref="D447">IF(C447="","",IFERROR(INDEX(PRODUCTORES!$B:$B, MATCH(C447, PRODUCTORES!$F:$F, 0)) &amp; " " &amp; INDEX(PRODUCTORES!$C:$C, MATCH(C447, PRODUCTORES!$F:$F, 0)), IFERROR(INDEX(PRODUCTORES!$B:$B, MATCH(C447, PRODUCTORES!$A:$A, 0)) &amp; " " &amp; INDEX(PRODUCTORES!$C:$C, MATCH(C447, PRODUCTORES!$A:$A, 0)), IFERROR(TRIM(MID(C447, SEARCH(" - ", C447) + 3, 100)), "NO ENCONTRADO"))))</f>
        <v/>
      </c>
      <c r="E447" s="34" t="str">
        <f t="array" ref="E447">IF(C447="","",IFERROR(INDEX(PRODUCTORES!$D:$D, MATCH(C447, PRODUCTORES!$F:$F, 0)), IFERROR(INDEX(PRODUCTORES!$D:$D, MATCH(IF(ISNUMBER(SEARCH(" - ", C447)), LEFT(C447, SEARCH(" - ", C447) - 1), C447), PRODUCTORES!$A:$A, 0)), "-")))</f>
        <v/>
      </c>
      <c r="F447" s="11"/>
      <c r="G447" s="11"/>
    </row>
    <row r="448" ht="15.75" customHeight="1">
      <c r="A448" s="19"/>
      <c r="B448" s="11"/>
      <c r="C448" s="33"/>
      <c r="D448" s="34" t="str">
        <f t="array" ref="D448">IF(C448="","",IFERROR(INDEX(PRODUCTORES!$B:$B, MATCH(C448, PRODUCTORES!$F:$F, 0)) &amp; " " &amp; INDEX(PRODUCTORES!$C:$C, MATCH(C448, PRODUCTORES!$F:$F, 0)), IFERROR(INDEX(PRODUCTORES!$B:$B, MATCH(C448, PRODUCTORES!$A:$A, 0)) &amp; " " &amp; INDEX(PRODUCTORES!$C:$C, MATCH(C448, PRODUCTORES!$A:$A, 0)), IFERROR(TRIM(MID(C448, SEARCH(" - ", C448) + 3, 100)), "NO ENCONTRADO"))))</f>
        <v/>
      </c>
      <c r="E448" s="34" t="str">
        <f t="array" ref="E448">IF(C448="","",IFERROR(INDEX(PRODUCTORES!$D:$D, MATCH(C448, PRODUCTORES!$F:$F, 0)), IFERROR(INDEX(PRODUCTORES!$D:$D, MATCH(IF(ISNUMBER(SEARCH(" - ", C448)), LEFT(C448, SEARCH(" - ", C448) - 1), C448), PRODUCTORES!$A:$A, 0)), "-")))</f>
        <v/>
      </c>
      <c r="F448" s="11"/>
      <c r="G448" s="11"/>
    </row>
    <row r="449" ht="15.75" customHeight="1">
      <c r="A449" s="19"/>
      <c r="B449" s="11"/>
      <c r="C449" s="33"/>
      <c r="D449" s="34" t="str">
        <f t="array" ref="D449">IF(C449="","",IFERROR(INDEX(PRODUCTORES!$B:$B, MATCH(C449, PRODUCTORES!$F:$F, 0)) &amp; " " &amp; INDEX(PRODUCTORES!$C:$C, MATCH(C449, PRODUCTORES!$F:$F, 0)), IFERROR(INDEX(PRODUCTORES!$B:$B, MATCH(C449, PRODUCTORES!$A:$A, 0)) &amp; " " &amp; INDEX(PRODUCTORES!$C:$C, MATCH(C449, PRODUCTORES!$A:$A, 0)), IFERROR(TRIM(MID(C449, SEARCH(" - ", C449) + 3, 100)), "NO ENCONTRADO"))))</f>
        <v/>
      </c>
      <c r="E449" s="34" t="str">
        <f t="array" ref="E449">IF(C449="","",IFERROR(INDEX(PRODUCTORES!$D:$D, MATCH(C449, PRODUCTORES!$F:$F, 0)), IFERROR(INDEX(PRODUCTORES!$D:$D, MATCH(IF(ISNUMBER(SEARCH(" - ", C449)), LEFT(C449, SEARCH(" - ", C449) - 1), C449), PRODUCTORES!$A:$A, 0)), "-")))</f>
        <v/>
      </c>
      <c r="F449" s="11"/>
      <c r="G449" s="11"/>
    </row>
    <row r="450" ht="15.75" customHeight="1">
      <c r="A450" s="19"/>
      <c r="B450" s="11"/>
      <c r="C450" s="33"/>
      <c r="D450" s="34" t="str">
        <f t="array" ref="D450">IF(C450="","",IFERROR(INDEX(PRODUCTORES!$B:$B, MATCH(C450, PRODUCTORES!$F:$F, 0)) &amp; " " &amp; INDEX(PRODUCTORES!$C:$C, MATCH(C450, PRODUCTORES!$F:$F, 0)), IFERROR(INDEX(PRODUCTORES!$B:$B, MATCH(C450, PRODUCTORES!$A:$A, 0)) &amp; " " &amp; INDEX(PRODUCTORES!$C:$C, MATCH(C450, PRODUCTORES!$A:$A, 0)), IFERROR(TRIM(MID(C450, SEARCH(" - ", C450) + 3, 100)), "NO ENCONTRADO"))))</f>
        <v/>
      </c>
      <c r="E450" s="34" t="str">
        <f t="array" ref="E450">IF(C450="","",IFERROR(INDEX(PRODUCTORES!$D:$D, MATCH(C450, PRODUCTORES!$F:$F, 0)), IFERROR(INDEX(PRODUCTORES!$D:$D, MATCH(IF(ISNUMBER(SEARCH(" - ", C450)), LEFT(C450, SEARCH(" - ", C450) - 1), C450), PRODUCTORES!$A:$A, 0)), "-")))</f>
        <v/>
      </c>
      <c r="F450" s="11"/>
      <c r="G450" s="11"/>
    </row>
    <row r="451" ht="15.75" customHeight="1">
      <c r="A451" s="19"/>
      <c r="B451" s="11"/>
      <c r="C451" s="33"/>
      <c r="D451" s="34" t="str">
        <f t="array" ref="D451">IF(C451="","",IFERROR(INDEX(PRODUCTORES!$B:$B, MATCH(C451, PRODUCTORES!$F:$F, 0)) &amp; " " &amp; INDEX(PRODUCTORES!$C:$C, MATCH(C451, PRODUCTORES!$F:$F, 0)), IFERROR(INDEX(PRODUCTORES!$B:$B, MATCH(C451, PRODUCTORES!$A:$A, 0)) &amp; " " &amp; INDEX(PRODUCTORES!$C:$C, MATCH(C451, PRODUCTORES!$A:$A, 0)), IFERROR(TRIM(MID(C451, SEARCH(" - ", C451) + 3, 100)), "NO ENCONTRADO"))))</f>
        <v/>
      </c>
      <c r="E451" s="34" t="str">
        <f t="array" ref="E451">IF(C451="","",IFERROR(INDEX(PRODUCTORES!$D:$D, MATCH(C451, PRODUCTORES!$F:$F, 0)), IFERROR(INDEX(PRODUCTORES!$D:$D, MATCH(IF(ISNUMBER(SEARCH(" - ", C451)), LEFT(C451, SEARCH(" - ", C451) - 1), C451), PRODUCTORES!$A:$A, 0)), "-")))</f>
        <v/>
      </c>
      <c r="F451" s="11"/>
      <c r="G451" s="11"/>
    </row>
    <row r="452" ht="15.75" customHeight="1">
      <c r="A452" s="19"/>
      <c r="B452" s="11"/>
      <c r="C452" s="33"/>
      <c r="D452" s="34" t="str">
        <f t="array" ref="D452">IF(C452="","",IFERROR(INDEX(PRODUCTORES!$B:$B, MATCH(C452, PRODUCTORES!$F:$F, 0)) &amp; " " &amp; INDEX(PRODUCTORES!$C:$C, MATCH(C452, PRODUCTORES!$F:$F, 0)), IFERROR(INDEX(PRODUCTORES!$B:$B, MATCH(C452, PRODUCTORES!$A:$A, 0)) &amp; " " &amp; INDEX(PRODUCTORES!$C:$C, MATCH(C452, PRODUCTORES!$A:$A, 0)), IFERROR(TRIM(MID(C452, SEARCH(" - ", C452) + 3, 100)), "NO ENCONTRADO"))))</f>
        <v/>
      </c>
      <c r="E452" s="34" t="str">
        <f t="array" ref="E452">IF(C452="","",IFERROR(INDEX(PRODUCTORES!$D:$D, MATCH(C452, PRODUCTORES!$F:$F, 0)), IFERROR(INDEX(PRODUCTORES!$D:$D, MATCH(IF(ISNUMBER(SEARCH(" - ", C452)), LEFT(C452, SEARCH(" - ", C452) - 1), C452), PRODUCTORES!$A:$A, 0)), "-")))</f>
        <v/>
      </c>
      <c r="F452" s="11"/>
      <c r="G452" s="11"/>
    </row>
    <row r="453" ht="15.75" customHeight="1">
      <c r="A453" s="19"/>
      <c r="B453" s="11"/>
      <c r="C453" s="33"/>
      <c r="D453" s="34" t="str">
        <f t="array" ref="D453">IF(C453="","",IFERROR(INDEX(PRODUCTORES!$B:$B, MATCH(C453, PRODUCTORES!$F:$F, 0)) &amp; " " &amp; INDEX(PRODUCTORES!$C:$C, MATCH(C453, PRODUCTORES!$F:$F, 0)), IFERROR(INDEX(PRODUCTORES!$B:$B, MATCH(C453, PRODUCTORES!$A:$A, 0)) &amp; " " &amp; INDEX(PRODUCTORES!$C:$C, MATCH(C453, PRODUCTORES!$A:$A, 0)), IFERROR(TRIM(MID(C453, SEARCH(" - ", C453) + 3, 100)), "NO ENCONTRADO"))))</f>
        <v/>
      </c>
      <c r="E453" s="34" t="str">
        <f t="array" ref="E453">IF(C453="","",IFERROR(INDEX(PRODUCTORES!$D:$D, MATCH(C453, PRODUCTORES!$F:$F, 0)), IFERROR(INDEX(PRODUCTORES!$D:$D, MATCH(IF(ISNUMBER(SEARCH(" - ", C453)), LEFT(C453, SEARCH(" - ", C453) - 1), C453), PRODUCTORES!$A:$A, 0)), "-")))</f>
        <v/>
      </c>
      <c r="F453" s="11"/>
      <c r="G453" s="11"/>
    </row>
    <row r="454" ht="15.75" customHeight="1">
      <c r="A454" s="19"/>
      <c r="B454" s="11"/>
      <c r="C454" s="33"/>
      <c r="D454" s="34" t="str">
        <f t="array" ref="D454">IF(C454="","",IFERROR(INDEX(PRODUCTORES!$B:$B, MATCH(C454, PRODUCTORES!$F:$F, 0)) &amp; " " &amp; INDEX(PRODUCTORES!$C:$C, MATCH(C454, PRODUCTORES!$F:$F, 0)), IFERROR(INDEX(PRODUCTORES!$B:$B, MATCH(C454, PRODUCTORES!$A:$A, 0)) &amp; " " &amp; INDEX(PRODUCTORES!$C:$C, MATCH(C454, PRODUCTORES!$A:$A, 0)), IFERROR(TRIM(MID(C454, SEARCH(" - ", C454) + 3, 100)), "NO ENCONTRADO"))))</f>
        <v/>
      </c>
      <c r="E454" s="34" t="str">
        <f t="array" ref="E454">IF(C454="","",IFERROR(INDEX(PRODUCTORES!$D:$D, MATCH(C454, PRODUCTORES!$F:$F, 0)), IFERROR(INDEX(PRODUCTORES!$D:$D, MATCH(IF(ISNUMBER(SEARCH(" - ", C454)), LEFT(C454, SEARCH(" - ", C454) - 1), C454), PRODUCTORES!$A:$A, 0)), "-")))</f>
        <v/>
      </c>
      <c r="F454" s="11"/>
      <c r="G454" s="11"/>
    </row>
    <row r="455" ht="15.75" customHeight="1">
      <c r="A455" s="19"/>
      <c r="B455" s="11"/>
      <c r="C455" s="33"/>
      <c r="D455" s="34" t="str">
        <f t="array" ref="D455">IF(C455="","",IFERROR(INDEX(PRODUCTORES!$B:$B, MATCH(C455, PRODUCTORES!$F:$F, 0)) &amp; " " &amp; INDEX(PRODUCTORES!$C:$C, MATCH(C455, PRODUCTORES!$F:$F, 0)), IFERROR(INDEX(PRODUCTORES!$B:$B, MATCH(C455, PRODUCTORES!$A:$A, 0)) &amp; " " &amp; INDEX(PRODUCTORES!$C:$C, MATCH(C455, PRODUCTORES!$A:$A, 0)), IFERROR(TRIM(MID(C455, SEARCH(" - ", C455) + 3, 100)), "NO ENCONTRADO"))))</f>
        <v/>
      </c>
      <c r="E455" s="34" t="str">
        <f t="array" ref="E455">IF(C455="","",IFERROR(INDEX(PRODUCTORES!$D:$D, MATCH(C455, PRODUCTORES!$F:$F, 0)), IFERROR(INDEX(PRODUCTORES!$D:$D, MATCH(IF(ISNUMBER(SEARCH(" - ", C455)), LEFT(C455, SEARCH(" - ", C455) - 1), C455), PRODUCTORES!$A:$A, 0)), "-")))</f>
        <v/>
      </c>
      <c r="F455" s="11"/>
      <c r="G455" s="11"/>
    </row>
    <row r="456" ht="15.75" customHeight="1">
      <c r="A456" s="19"/>
      <c r="B456" s="11"/>
      <c r="C456" s="33"/>
      <c r="D456" s="34" t="str">
        <f t="array" ref="D456">IF(C456="","",IFERROR(INDEX(PRODUCTORES!$B:$B, MATCH(C456, PRODUCTORES!$F:$F, 0)) &amp; " " &amp; INDEX(PRODUCTORES!$C:$C, MATCH(C456, PRODUCTORES!$F:$F, 0)), IFERROR(INDEX(PRODUCTORES!$B:$B, MATCH(C456, PRODUCTORES!$A:$A, 0)) &amp; " " &amp; INDEX(PRODUCTORES!$C:$C, MATCH(C456, PRODUCTORES!$A:$A, 0)), IFERROR(TRIM(MID(C456, SEARCH(" - ", C456) + 3, 100)), "NO ENCONTRADO"))))</f>
        <v/>
      </c>
      <c r="E456" s="34" t="str">
        <f t="array" ref="E456">IF(C456="","",IFERROR(INDEX(PRODUCTORES!$D:$D, MATCH(C456, PRODUCTORES!$F:$F, 0)), IFERROR(INDEX(PRODUCTORES!$D:$D, MATCH(IF(ISNUMBER(SEARCH(" - ", C456)), LEFT(C456, SEARCH(" - ", C456) - 1), C456), PRODUCTORES!$A:$A, 0)), "-")))</f>
        <v/>
      </c>
      <c r="F456" s="11"/>
      <c r="G456" s="11"/>
    </row>
    <row r="457" ht="15.75" customHeight="1">
      <c r="A457" s="19"/>
      <c r="B457" s="11"/>
      <c r="C457" s="33"/>
      <c r="D457" s="34" t="str">
        <f t="array" ref="D457">IF(C457="","",IFERROR(INDEX(PRODUCTORES!$B:$B, MATCH(C457, PRODUCTORES!$F:$F, 0)) &amp; " " &amp; INDEX(PRODUCTORES!$C:$C, MATCH(C457, PRODUCTORES!$F:$F, 0)), IFERROR(INDEX(PRODUCTORES!$B:$B, MATCH(C457, PRODUCTORES!$A:$A, 0)) &amp; " " &amp; INDEX(PRODUCTORES!$C:$C, MATCH(C457, PRODUCTORES!$A:$A, 0)), IFERROR(TRIM(MID(C457, SEARCH(" - ", C457) + 3, 100)), "NO ENCONTRADO"))))</f>
        <v/>
      </c>
      <c r="E457" s="34" t="str">
        <f t="array" ref="E457">IF(C457="","",IFERROR(INDEX(PRODUCTORES!$D:$D, MATCH(C457, PRODUCTORES!$F:$F, 0)), IFERROR(INDEX(PRODUCTORES!$D:$D, MATCH(IF(ISNUMBER(SEARCH(" - ", C457)), LEFT(C457, SEARCH(" - ", C457) - 1), C457), PRODUCTORES!$A:$A, 0)), "-")))</f>
        <v/>
      </c>
      <c r="F457" s="11"/>
      <c r="G457" s="11"/>
    </row>
    <row r="458" ht="15.75" customHeight="1">
      <c r="A458" s="19"/>
      <c r="B458" s="11"/>
      <c r="C458" s="33"/>
      <c r="D458" s="34" t="str">
        <f t="array" ref="D458">IF(C458="","",IFERROR(INDEX(PRODUCTORES!$B:$B, MATCH(C458, PRODUCTORES!$F:$F, 0)) &amp; " " &amp; INDEX(PRODUCTORES!$C:$C, MATCH(C458, PRODUCTORES!$F:$F, 0)), IFERROR(INDEX(PRODUCTORES!$B:$B, MATCH(C458, PRODUCTORES!$A:$A, 0)) &amp; " " &amp; INDEX(PRODUCTORES!$C:$C, MATCH(C458, PRODUCTORES!$A:$A, 0)), IFERROR(TRIM(MID(C458, SEARCH(" - ", C458) + 3, 100)), "NO ENCONTRADO"))))</f>
        <v/>
      </c>
      <c r="E458" s="34" t="str">
        <f t="array" ref="E458">IF(C458="","",IFERROR(INDEX(PRODUCTORES!$D:$D, MATCH(C458, PRODUCTORES!$F:$F, 0)), IFERROR(INDEX(PRODUCTORES!$D:$D, MATCH(IF(ISNUMBER(SEARCH(" - ", C458)), LEFT(C458, SEARCH(" - ", C458) - 1), C458), PRODUCTORES!$A:$A, 0)), "-")))</f>
        <v/>
      </c>
      <c r="F458" s="11"/>
      <c r="G458" s="11"/>
    </row>
    <row r="459" ht="15.75" customHeight="1">
      <c r="A459" s="19"/>
      <c r="B459" s="11"/>
      <c r="C459" s="33"/>
      <c r="D459" s="34" t="str">
        <f t="array" ref="D459">IF(C459="","",IFERROR(INDEX(PRODUCTORES!$B:$B, MATCH(C459, PRODUCTORES!$F:$F, 0)) &amp; " " &amp; INDEX(PRODUCTORES!$C:$C, MATCH(C459, PRODUCTORES!$F:$F, 0)), IFERROR(INDEX(PRODUCTORES!$B:$B, MATCH(C459, PRODUCTORES!$A:$A, 0)) &amp; " " &amp; INDEX(PRODUCTORES!$C:$C, MATCH(C459, PRODUCTORES!$A:$A, 0)), IFERROR(TRIM(MID(C459, SEARCH(" - ", C459) + 3, 100)), "NO ENCONTRADO"))))</f>
        <v/>
      </c>
      <c r="E459" s="34" t="str">
        <f t="array" ref="E459">IF(C459="","",IFERROR(INDEX(PRODUCTORES!$D:$D, MATCH(C459, PRODUCTORES!$F:$F, 0)), IFERROR(INDEX(PRODUCTORES!$D:$D, MATCH(IF(ISNUMBER(SEARCH(" - ", C459)), LEFT(C459, SEARCH(" - ", C459) - 1), C459), PRODUCTORES!$A:$A, 0)), "-")))</f>
        <v/>
      </c>
      <c r="F459" s="11"/>
      <c r="G459" s="11"/>
    </row>
    <row r="460" ht="15.75" customHeight="1">
      <c r="A460" s="19"/>
      <c r="B460" s="11"/>
      <c r="C460" s="33"/>
      <c r="D460" s="34" t="str">
        <f t="array" ref="D460">IF(C460="","",IFERROR(INDEX(PRODUCTORES!$B:$B, MATCH(C460, PRODUCTORES!$F:$F, 0)) &amp; " " &amp; INDEX(PRODUCTORES!$C:$C, MATCH(C460, PRODUCTORES!$F:$F, 0)), IFERROR(INDEX(PRODUCTORES!$B:$B, MATCH(C460, PRODUCTORES!$A:$A, 0)) &amp; " " &amp; INDEX(PRODUCTORES!$C:$C, MATCH(C460, PRODUCTORES!$A:$A, 0)), IFERROR(TRIM(MID(C460, SEARCH(" - ", C460) + 3, 100)), "NO ENCONTRADO"))))</f>
        <v/>
      </c>
      <c r="E460" s="34" t="str">
        <f t="array" ref="E460">IF(C460="","",IFERROR(INDEX(PRODUCTORES!$D:$D, MATCH(C460, PRODUCTORES!$F:$F, 0)), IFERROR(INDEX(PRODUCTORES!$D:$D, MATCH(IF(ISNUMBER(SEARCH(" - ", C460)), LEFT(C460, SEARCH(" - ", C460) - 1), C460), PRODUCTORES!$A:$A, 0)), "-")))</f>
        <v/>
      </c>
      <c r="F460" s="11"/>
      <c r="G460" s="11"/>
    </row>
    <row r="461" ht="15.75" customHeight="1">
      <c r="A461" s="19"/>
      <c r="B461" s="11"/>
      <c r="C461" s="33"/>
      <c r="D461" s="34" t="str">
        <f t="array" ref="D461">IF(C461="","",IFERROR(INDEX(PRODUCTORES!$B:$B, MATCH(C461, PRODUCTORES!$F:$F, 0)) &amp; " " &amp; INDEX(PRODUCTORES!$C:$C, MATCH(C461, PRODUCTORES!$F:$F, 0)), IFERROR(INDEX(PRODUCTORES!$B:$B, MATCH(C461, PRODUCTORES!$A:$A, 0)) &amp; " " &amp; INDEX(PRODUCTORES!$C:$C, MATCH(C461, PRODUCTORES!$A:$A, 0)), IFERROR(TRIM(MID(C461, SEARCH(" - ", C461) + 3, 100)), "NO ENCONTRADO"))))</f>
        <v/>
      </c>
      <c r="E461" s="34" t="str">
        <f t="array" ref="E461">IF(C461="","",IFERROR(INDEX(PRODUCTORES!$D:$D, MATCH(C461, PRODUCTORES!$F:$F, 0)), IFERROR(INDEX(PRODUCTORES!$D:$D, MATCH(IF(ISNUMBER(SEARCH(" - ", C461)), LEFT(C461, SEARCH(" - ", C461) - 1), C461), PRODUCTORES!$A:$A, 0)), "-")))</f>
        <v/>
      </c>
      <c r="F461" s="11"/>
      <c r="G461" s="11"/>
    </row>
    <row r="462" ht="15.75" customHeight="1">
      <c r="A462" s="19"/>
      <c r="B462" s="11"/>
      <c r="C462" s="33"/>
      <c r="D462" s="34" t="str">
        <f t="array" ref="D462">IF(C462="","",IFERROR(INDEX(PRODUCTORES!$B:$B, MATCH(C462, PRODUCTORES!$F:$F, 0)) &amp; " " &amp; INDEX(PRODUCTORES!$C:$C, MATCH(C462, PRODUCTORES!$F:$F, 0)), IFERROR(INDEX(PRODUCTORES!$B:$B, MATCH(C462, PRODUCTORES!$A:$A, 0)) &amp; " " &amp; INDEX(PRODUCTORES!$C:$C, MATCH(C462, PRODUCTORES!$A:$A, 0)), IFERROR(TRIM(MID(C462, SEARCH(" - ", C462) + 3, 100)), "NO ENCONTRADO"))))</f>
        <v/>
      </c>
      <c r="E462" s="34" t="str">
        <f t="array" ref="E462">IF(C462="","",IFERROR(INDEX(PRODUCTORES!$D:$D, MATCH(C462, PRODUCTORES!$F:$F, 0)), IFERROR(INDEX(PRODUCTORES!$D:$D, MATCH(IF(ISNUMBER(SEARCH(" - ", C462)), LEFT(C462, SEARCH(" - ", C462) - 1), C462), PRODUCTORES!$A:$A, 0)), "-")))</f>
        <v/>
      </c>
      <c r="F462" s="11"/>
      <c r="G462" s="11"/>
    </row>
    <row r="463" ht="15.75" customHeight="1">
      <c r="A463" s="19"/>
      <c r="B463" s="11"/>
      <c r="C463" s="33"/>
      <c r="D463" s="34" t="str">
        <f t="array" ref="D463">IF(C463="","",IFERROR(INDEX(PRODUCTORES!$B:$B, MATCH(C463, PRODUCTORES!$F:$F, 0)) &amp; " " &amp; INDEX(PRODUCTORES!$C:$C, MATCH(C463, PRODUCTORES!$F:$F, 0)), IFERROR(INDEX(PRODUCTORES!$B:$B, MATCH(C463, PRODUCTORES!$A:$A, 0)) &amp; " " &amp; INDEX(PRODUCTORES!$C:$C, MATCH(C463, PRODUCTORES!$A:$A, 0)), IFERROR(TRIM(MID(C463, SEARCH(" - ", C463) + 3, 100)), "NO ENCONTRADO"))))</f>
        <v/>
      </c>
      <c r="E463" s="34" t="str">
        <f t="array" ref="E463">IF(C463="","",IFERROR(INDEX(PRODUCTORES!$D:$D, MATCH(C463, PRODUCTORES!$F:$F, 0)), IFERROR(INDEX(PRODUCTORES!$D:$D, MATCH(IF(ISNUMBER(SEARCH(" - ", C463)), LEFT(C463, SEARCH(" - ", C463) - 1), C463), PRODUCTORES!$A:$A, 0)), "-")))</f>
        <v/>
      </c>
      <c r="F463" s="11"/>
      <c r="G463" s="11"/>
    </row>
    <row r="464" ht="15.75" customHeight="1">
      <c r="A464" s="19"/>
      <c r="B464" s="11"/>
      <c r="C464" s="33"/>
      <c r="D464" s="34" t="str">
        <f t="array" ref="D464">IF(C464="","",IFERROR(INDEX(PRODUCTORES!$B:$B, MATCH(C464, PRODUCTORES!$F:$F, 0)) &amp; " " &amp; INDEX(PRODUCTORES!$C:$C, MATCH(C464, PRODUCTORES!$F:$F, 0)), IFERROR(INDEX(PRODUCTORES!$B:$B, MATCH(C464, PRODUCTORES!$A:$A, 0)) &amp; " " &amp; INDEX(PRODUCTORES!$C:$C, MATCH(C464, PRODUCTORES!$A:$A, 0)), IFERROR(TRIM(MID(C464, SEARCH(" - ", C464) + 3, 100)), "NO ENCONTRADO"))))</f>
        <v/>
      </c>
      <c r="E464" s="34" t="str">
        <f t="array" ref="E464">IF(C464="","",IFERROR(INDEX(PRODUCTORES!$D:$D, MATCH(C464, PRODUCTORES!$F:$F, 0)), IFERROR(INDEX(PRODUCTORES!$D:$D, MATCH(IF(ISNUMBER(SEARCH(" - ", C464)), LEFT(C464, SEARCH(" - ", C464) - 1), C464), PRODUCTORES!$A:$A, 0)), "-")))</f>
        <v/>
      </c>
      <c r="F464" s="11"/>
      <c r="G464" s="11"/>
    </row>
    <row r="465" ht="15.75" customHeight="1">
      <c r="A465" s="19"/>
      <c r="B465" s="11"/>
      <c r="C465" s="33"/>
      <c r="D465" s="34" t="str">
        <f t="array" ref="D465">IF(C465="","",IFERROR(INDEX(PRODUCTORES!$B:$B, MATCH(C465, PRODUCTORES!$F:$F, 0)) &amp; " " &amp; INDEX(PRODUCTORES!$C:$C, MATCH(C465, PRODUCTORES!$F:$F, 0)), IFERROR(INDEX(PRODUCTORES!$B:$B, MATCH(C465, PRODUCTORES!$A:$A, 0)) &amp; " " &amp; INDEX(PRODUCTORES!$C:$C, MATCH(C465, PRODUCTORES!$A:$A, 0)), IFERROR(TRIM(MID(C465, SEARCH(" - ", C465) + 3, 100)), "NO ENCONTRADO"))))</f>
        <v/>
      </c>
      <c r="E465" s="34" t="str">
        <f t="array" ref="E465">IF(C465="","",IFERROR(INDEX(PRODUCTORES!$D:$D, MATCH(C465, PRODUCTORES!$F:$F, 0)), IFERROR(INDEX(PRODUCTORES!$D:$D, MATCH(IF(ISNUMBER(SEARCH(" - ", C465)), LEFT(C465, SEARCH(" - ", C465) - 1), C465), PRODUCTORES!$A:$A, 0)), "-")))</f>
        <v/>
      </c>
      <c r="F465" s="11"/>
      <c r="G465" s="11"/>
    </row>
    <row r="466" ht="15.75" customHeight="1">
      <c r="A466" s="19"/>
      <c r="B466" s="11"/>
      <c r="C466" s="33"/>
      <c r="D466" s="34" t="str">
        <f t="array" ref="D466">IF(C466="","",IFERROR(INDEX(PRODUCTORES!$B:$B, MATCH(C466, PRODUCTORES!$F:$F, 0)) &amp; " " &amp; INDEX(PRODUCTORES!$C:$C, MATCH(C466, PRODUCTORES!$F:$F, 0)), IFERROR(INDEX(PRODUCTORES!$B:$B, MATCH(C466, PRODUCTORES!$A:$A, 0)) &amp; " " &amp; INDEX(PRODUCTORES!$C:$C, MATCH(C466, PRODUCTORES!$A:$A, 0)), IFERROR(TRIM(MID(C466, SEARCH(" - ", C466) + 3, 100)), "NO ENCONTRADO"))))</f>
        <v/>
      </c>
      <c r="E466" s="34" t="str">
        <f t="array" ref="E466">IF(C466="","",IFERROR(INDEX(PRODUCTORES!$D:$D, MATCH(C466, PRODUCTORES!$F:$F, 0)), IFERROR(INDEX(PRODUCTORES!$D:$D, MATCH(IF(ISNUMBER(SEARCH(" - ", C466)), LEFT(C466, SEARCH(" - ", C466) - 1), C466), PRODUCTORES!$A:$A, 0)), "-")))</f>
        <v/>
      </c>
      <c r="F466" s="11"/>
      <c r="G466" s="11"/>
    </row>
    <row r="467" ht="15.75" customHeight="1">
      <c r="A467" s="19"/>
      <c r="B467" s="11"/>
      <c r="C467" s="33"/>
      <c r="D467" s="34" t="str">
        <f t="array" ref="D467">IF(C467="","",IFERROR(INDEX(PRODUCTORES!$B:$B, MATCH(C467, PRODUCTORES!$F:$F, 0)) &amp; " " &amp; INDEX(PRODUCTORES!$C:$C, MATCH(C467, PRODUCTORES!$F:$F, 0)), IFERROR(INDEX(PRODUCTORES!$B:$B, MATCH(C467, PRODUCTORES!$A:$A, 0)) &amp; " " &amp; INDEX(PRODUCTORES!$C:$C, MATCH(C467, PRODUCTORES!$A:$A, 0)), IFERROR(TRIM(MID(C467, SEARCH(" - ", C467) + 3, 100)), "NO ENCONTRADO"))))</f>
        <v/>
      </c>
      <c r="E467" s="34" t="str">
        <f t="array" ref="E467">IF(C467="","",IFERROR(INDEX(PRODUCTORES!$D:$D, MATCH(C467, PRODUCTORES!$F:$F, 0)), IFERROR(INDEX(PRODUCTORES!$D:$D, MATCH(IF(ISNUMBER(SEARCH(" - ", C467)), LEFT(C467, SEARCH(" - ", C467) - 1), C467), PRODUCTORES!$A:$A, 0)), "-")))</f>
        <v/>
      </c>
      <c r="F467" s="11"/>
      <c r="G467" s="11"/>
    </row>
    <row r="468" ht="15.75" customHeight="1">
      <c r="A468" s="19"/>
      <c r="B468" s="11"/>
      <c r="C468" s="33"/>
      <c r="D468" s="34" t="str">
        <f t="array" ref="D468">IF(C468="","",IFERROR(INDEX(PRODUCTORES!$B:$B, MATCH(C468, PRODUCTORES!$F:$F, 0)) &amp; " " &amp; INDEX(PRODUCTORES!$C:$C, MATCH(C468, PRODUCTORES!$F:$F, 0)), IFERROR(INDEX(PRODUCTORES!$B:$B, MATCH(C468, PRODUCTORES!$A:$A, 0)) &amp; " " &amp; INDEX(PRODUCTORES!$C:$C, MATCH(C468, PRODUCTORES!$A:$A, 0)), IFERROR(TRIM(MID(C468, SEARCH(" - ", C468) + 3, 100)), "NO ENCONTRADO"))))</f>
        <v/>
      </c>
      <c r="E468" s="34" t="str">
        <f t="array" ref="E468">IF(C468="","",IFERROR(INDEX(PRODUCTORES!$D:$D, MATCH(C468, PRODUCTORES!$F:$F, 0)), IFERROR(INDEX(PRODUCTORES!$D:$D, MATCH(IF(ISNUMBER(SEARCH(" - ", C468)), LEFT(C468, SEARCH(" - ", C468) - 1), C468), PRODUCTORES!$A:$A, 0)), "-")))</f>
        <v/>
      </c>
      <c r="F468" s="11"/>
      <c r="G468" s="11"/>
    </row>
    <row r="469" ht="15.75" customHeight="1">
      <c r="A469" s="19"/>
      <c r="B469" s="11"/>
      <c r="C469" s="33"/>
      <c r="D469" s="34" t="str">
        <f t="array" ref="D469">IF(C469="","",IFERROR(INDEX(PRODUCTORES!$B:$B, MATCH(C469, PRODUCTORES!$F:$F, 0)) &amp; " " &amp; INDEX(PRODUCTORES!$C:$C, MATCH(C469, PRODUCTORES!$F:$F, 0)), IFERROR(INDEX(PRODUCTORES!$B:$B, MATCH(C469, PRODUCTORES!$A:$A, 0)) &amp; " " &amp; INDEX(PRODUCTORES!$C:$C, MATCH(C469, PRODUCTORES!$A:$A, 0)), IFERROR(TRIM(MID(C469, SEARCH(" - ", C469) + 3, 100)), "NO ENCONTRADO"))))</f>
        <v/>
      </c>
      <c r="E469" s="34" t="str">
        <f t="array" ref="E469">IF(C469="","",IFERROR(INDEX(PRODUCTORES!$D:$D, MATCH(C469, PRODUCTORES!$F:$F, 0)), IFERROR(INDEX(PRODUCTORES!$D:$D, MATCH(IF(ISNUMBER(SEARCH(" - ", C469)), LEFT(C469, SEARCH(" - ", C469) - 1), C469), PRODUCTORES!$A:$A, 0)), "-")))</f>
        <v/>
      </c>
      <c r="F469" s="11"/>
      <c r="G469" s="11"/>
    </row>
    <row r="470" ht="15.75" customHeight="1">
      <c r="A470" s="19"/>
      <c r="B470" s="11"/>
      <c r="C470" s="33"/>
      <c r="D470" s="34" t="str">
        <f t="array" ref="D470">IF(C470="","",IFERROR(INDEX(PRODUCTORES!$B:$B, MATCH(C470, PRODUCTORES!$F:$F, 0)) &amp; " " &amp; INDEX(PRODUCTORES!$C:$C, MATCH(C470, PRODUCTORES!$F:$F, 0)), IFERROR(INDEX(PRODUCTORES!$B:$B, MATCH(C470, PRODUCTORES!$A:$A, 0)) &amp; " " &amp; INDEX(PRODUCTORES!$C:$C, MATCH(C470, PRODUCTORES!$A:$A, 0)), IFERROR(TRIM(MID(C470, SEARCH(" - ", C470) + 3, 100)), "NO ENCONTRADO"))))</f>
        <v/>
      </c>
      <c r="E470" s="34" t="str">
        <f t="array" ref="E470">IF(C470="","",IFERROR(INDEX(PRODUCTORES!$D:$D, MATCH(C470, PRODUCTORES!$F:$F, 0)), IFERROR(INDEX(PRODUCTORES!$D:$D, MATCH(IF(ISNUMBER(SEARCH(" - ", C470)), LEFT(C470, SEARCH(" - ", C470) - 1), C470), PRODUCTORES!$A:$A, 0)), "-")))</f>
        <v/>
      </c>
      <c r="F470" s="11"/>
      <c r="G470" s="11"/>
    </row>
    <row r="471" ht="15.75" customHeight="1">
      <c r="A471" s="19"/>
      <c r="B471" s="11"/>
      <c r="C471" s="33"/>
      <c r="D471" s="34" t="str">
        <f t="array" ref="D471">IF(C471="","",IFERROR(INDEX(PRODUCTORES!$B:$B, MATCH(C471, PRODUCTORES!$F:$F, 0)) &amp; " " &amp; INDEX(PRODUCTORES!$C:$C, MATCH(C471, PRODUCTORES!$F:$F, 0)), IFERROR(INDEX(PRODUCTORES!$B:$B, MATCH(C471, PRODUCTORES!$A:$A, 0)) &amp; " " &amp; INDEX(PRODUCTORES!$C:$C, MATCH(C471, PRODUCTORES!$A:$A, 0)), IFERROR(TRIM(MID(C471, SEARCH(" - ", C471) + 3, 100)), "NO ENCONTRADO"))))</f>
        <v/>
      </c>
      <c r="E471" s="34" t="str">
        <f t="array" ref="E471">IF(C471="","",IFERROR(INDEX(PRODUCTORES!$D:$D, MATCH(C471, PRODUCTORES!$F:$F, 0)), IFERROR(INDEX(PRODUCTORES!$D:$D, MATCH(IF(ISNUMBER(SEARCH(" - ", C471)), LEFT(C471, SEARCH(" - ", C471) - 1), C471), PRODUCTORES!$A:$A, 0)), "-")))</f>
        <v/>
      </c>
      <c r="F471" s="11"/>
      <c r="G471" s="11"/>
    </row>
    <row r="472" ht="15.75" customHeight="1">
      <c r="A472" s="19"/>
      <c r="B472" s="11"/>
      <c r="C472" s="33"/>
      <c r="D472" s="34" t="str">
        <f t="array" ref="D472">IF(C472="","",IFERROR(INDEX(PRODUCTORES!$B:$B, MATCH(C472, PRODUCTORES!$F:$F, 0)) &amp; " " &amp; INDEX(PRODUCTORES!$C:$C, MATCH(C472, PRODUCTORES!$F:$F, 0)), IFERROR(INDEX(PRODUCTORES!$B:$B, MATCH(C472, PRODUCTORES!$A:$A, 0)) &amp; " " &amp; INDEX(PRODUCTORES!$C:$C, MATCH(C472, PRODUCTORES!$A:$A, 0)), IFERROR(TRIM(MID(C472, SEARCH(" - ", C472) + 3, 100)), "NO ENCONTRADO"))))</f>
        <v/>
      </c>
      <c r="E472" s="34" t="str">
        <f t="array" ref="E472">IF(C472="","",IFERROR(INDEX(PRODUCTORES!$D:$D, MATCH(C472, PRODUCTORES!$F:$F, 0)), IFERROR(INDEX(PRODUCTORES!$D:$D, MATCH(IF(ISNUMBER(SEARCH(" - ", C472)), LEFT(C472, SEARCH(" - ", C472) - 1), C472), PRODUCTORES!$A:$A, 0)), "-")))</f>
        <v/>
      </c>
      <c r="F472" s="11"/>
      <c r="G472" s="11"/>
    </row>
    <row r="473" ht="15.75" customHeight="1">
      <c r="A473" s="19"/>
      <c r="B473" s="11"/>
      <c r="C473" s="33"/>
      <c r="D473" s="34" t="str">
        <f t="array" ref="D473">IF(C473="","",IFERROR(INDEX(PRODUCTORES!$B:$B, MATCH(C473, PRODUCTORES!$F:$F, 0)) &amp; " " &amp; INDEX(PRODUCTORES!$C:$C, MATCH(C473, PRODUCTORES!$F:$F, 0)), IFERROR(INDEX(PRODUCTORES!$B:$B, MATCH(C473, PRODUCTORES!$A:$A, 0)) &amp; " " &amp; INDEX(PRODUCTORES!$C:$C, MATCH(C473, PRODUCTORES!$A:$A, 0)), IFERROR(TRIM(MID(C473, SEARCH(" - ", C473) + 3, 100)), "NO ENCONTRADO"))))</f>
        <v/>
      </c>
      <c r="E473" s="34" t="str">
        <f t="array" ref="E473">IF(C473="","",IFERROR(INDEX(PRODUCTORES!$D:$D, MATCH(C473, PRODUCTORES!$F:$F, 0)), IFERROR(INDEX(PRODUCTORES!$D:$D, MATCH(IF(ISNUMBER(SEARCH(" - ", C473)), LEFT(C473, SEARCH(" - ", C473) - 1), C473), PRODUCTORES!$A:$A, 0)), "-")))</f>
        <v/>
      </c>
      <c r="F473" s="11"/>
      <c r="G473" s="11"/>
    </row>
    <row r="474" ht="15.75" customHeight="1">
      <c r="A474" s="19"/>
      <c r="B474" s="11"/>
      <c r="C474" s="33"/>
      <c r="D474" s="34" t="str">
        <f t="array" ref="D474">IF(C474="","",IFERROR(INDEX(PRODUCTORES!$B:$B, MATCH(C474, PRODUCTORES!$F:$F, 0)) &amp; " " &amp; INDEX(PRODUCTORES!$C:$C, MATCH(C474, PRODUCTORES!$F:$F, 0)), IFERROR(INDEX(PRODUCTORES!$B:$B, MATCH(C474, PRODUCTORES!$A:$A, 0)) &amp; " " &amp; INDEX(PRODUCTORES!$C:$C, MATCH(C474, PRODUCTORES!$A:$A, 0)), IFERROR(TRIM(MID(C474, SEARCH(" - ", C474) + 3, 100)), "NO ENCONTRADO"))))</f>
        <v/>
      </c>
      <c r="E474" s="34" t="str">
        <f t="array" ref="E474">IF(C474="","",IFERROR(INDEX(PRODUCTORES!$D:$D, MATCH(C474, PRODUCTORES!$F:$F, 0)), IFERROR(INDEX(PRODUCTORES!$D:$D, MATCH(IF(ISNUMBER(SEARCH(" - ", C474)), LEFT(C474, SEARCH(" - ", C474) - 1), C474), PRODUCTORES!$A:$A, 0)), "-")))</f>
        <v/>
      </c>
      <c r="F474" s="11"/>
      <c r="G474" s="11"/>
    </row>
    <row r="475" ht="15.75" customHeight="1">
      <c r="A475" s="19"/>
      <c r="B475" s="11"/>
      <c r="C475" s="33"/>
      <c r="D475" s="34" t="str">
        <f t="array" ref="D475">IF(C475="","",IFERROR(INDEX(PRODUCTORES!$B:$B, MATCH(C475, PRODUCTORES!$F:$F, 0)) &amp; " " &amp; INDEX(PRODUCTORES!$C:$C, MATCH(C475, PRODUCTORES!$F:$F, 0)), IFERROR(INDEX(PRODUCTORES!$B:$B, MATCH(C475, PRODUCTORES!$A:$A, 0)) &amp; " " &amp; INDEX(PRODUCTORES!$C:$C, MATCH(C475, PRODUCTORES!$A:$A, 0)), IFERROR(TRIM(MID(C475, SEARCH(" - ", C475) + 3, 100)), "NO ENCONTRADO"))))</f>
        <v/>
      </c>
      <c r="E475" s="34" t="str">
        <f t="array" ref="E475">IF(C475="","",IFERROR(INDEX(PRODUCTORES!$D:$D, MATCH(C475, PRODUCTORES!$F:$F, 0)), IFERROR(INDEX(PRODUCTORES!$D:$D, MATCH(IF(ISNUMBER(SEARCH(" - ", C475)), LEFT(C475, SEARCH(" - ", C475) - 1), C475), PRODUCTORES!$A:$A, 0)), "-")))</f>
        <v/>
      </c>
      <c r="F475" s="11"/>
      <c r="G475" s="11"/>
    </row>
    <row r="476" ht="15.75" customHeight="1">
      <c r="A476" s="19"/>
      <c r="B476" s="11"/>
      <c r="C476" s="33"/>
      <c r="D476" s="34" t="str">
        <f t="array" ref="D476">IF(C476="","",IFERROR(INDEX(PRODUCTORES!$B:$B, MATCH(C476, PRODUCTORES!$F:$F, 0)) &amp; " " &amp; INDEX(PRODUCTORES!$C:$C, MATCH(C476, PRODUCTORES!$F:$F, 0)), IFERROR(INDEX(PRODUCTORES!$B:$B, MATCH(C476, PRODUCTORES!$A:$A, 0)) &amp; " " &amp; INDEX(PRODUCTORES!$C:$C, MATCH(C476, PRODUCTORES!$A:$A, 0)), IFERROR(TRIM(MID(C476, SEARCH(" - ", C476) + 3, 100)), "NO ENCONTRADO"))))</f>
        <v/>
      </c>
      <c r="E476" s="34" t="str">
        <f t="array" ref="E476">IF(C476="","",IFERROR(INDEX(PRODUCTORES!$D:$D, MATCH(C476, PRODUCTORES!$F:$F, 0)), IFERROR(INDEX(PRODUCTORES!$D:$D, MATCH(IF(ISNUMBER(SEARCH(" - ", C476)), LEFT(C476, SEARCH(" - ", C476) - 1), C476), PRODUCTORES!$A:$A, 0)), "-")))</f>
        <v/>
      </c>
      <c r="F476" s="11"/>
      <c r="G476" s="11"/>
    </row>
    <row r="477" ht="15.75" customHeight="1">
      <c r="A477" s="19"/>
      <c r="B477" s="11"/>
      <c r="C477" s="33"/>
      <c r="D477" s="34" t="str">
        <f t="array" ref="D477">IF(C477="","",IFERROR(INDEX(PRODUCTORES!$B:$B, MATCH(C477, PRODUCTORES!$F:$F, 0)) &amp; " " &amp; INDEX(PRODUCTORES!$C:$C, MATCH(C477, PRODUCTORES!$F:$F, 0)), IFERROR(INDEX(PRODUCTORES!$B:$B, MATCH(C477, PRODUCTORES!$A:$A, 0)) &amp; " " &amp; INDEX(PRODUCTORES!$C:$C, MATCH(C477, PRODUCTORES!$A:$A, 0)), IFERROR(TRIM(MID(C477, SEARCH(" - ", C477) + 3, 100)), "NO ENCONTRADO"))))</f>
        <v/>
      </c>
      <c r="E477" s="34" t="str">
        <f t="array" ref="E477">IF(C477="","",IFERROR(INDEX(PRODUCTORES!$D:$D, MATCH(C477, PRODUCTORES!$F:$F, 0)), IFERROR(INDEX(PRODUCTORES!$D:$D, MATCH(IF(ISNUMBER(SEARCH(" - ", C477)), LEFT(C477, SEARCH(" - ", C477) - 1), C477), PRODUCTORES!$A:$A, 0)), "-")))</f>
        <v/>
      </c>
      <c r="F477" s="11"/>
      <c r="G477" s="11"/>
    </row>
    <row r="478" ht="15.75" customHeight="1">
      <c r="A478" s="19"/>
      <c r="B478" s="11"/>
      <c r="C478" s="33"/>
      <c r="D478" s="34" t="str">
        <f t="array" ref="D478">IF(C478="","",IFERROR(INDEX(PRODUCTORES!$B:$B, MATCH(C478, PRODUCTORES!$F:$F, 0)) &amp; " " &amp; INDEX(PRODUCTORES!$C:$C, MATCH(C478, PRODUCTORES!$F:$F, 0)), IFERROR(INDEX(PRODUCTORES!$B:$B, MATCH(C478, PRODUCTORES!$A:$A, 0)) &amp; " " &amp; INDEX(PRODUCTORES!$C:$C, MATCH(C478, PRODUCTORES!$A:$A, 0)), IFERROR(TRIM(MID(C478, SEARCH(" - ", C478) + 3, 100)), "NO ENCONTRADO"))))</f>
        <v/>
      </c>
      <c r="E478" s="34" t="str">
        <f t="array" ref="E478">IF(C478="","",IFERROR(INDEX(PRODUCTORES!$D:$D, MATCH(C478, PRODUCTORES!$F:$F, 0)), IFERROR(INDEX(PRODUCTORES!$D:$D, MATCH(IF(ISNUMBER(SEARCH(" - ", C478)), LEFT(C478, SEARCH(" - ", C478) - 1), C478), PRODUCTORES!$A:$A, 0)), "-")))</f>
        <v/>
      </c>
      <c r="F478" s="11"/>
      <c r="G478" s="11"/>
    </row>
    <row r="479" ht="15.75" customHeight="1">
      <c r="A479" s="19"/>
      <c r="B479" s="11"/>
      <c r="C479" s="33"/>
      <c r="D479" s="34" t="str">
        <f t="array" ref="D479">IF(C479="","",IFERROR(INDEX(PRODUCTORES!$B:$B, MATCH(C479, PRODUCTORES!$F:$F, 0)) &amp; " " &amp; INDEX(PRODUCTORES!$C:$C, MATCH(C479, PRODUCTORES!$F:$F, 0)), IFERROR(INDEX(PRODUCTORES!$B:$B, MATCH(C479, PRODUCTORES!$A:$A, 0)) &amp; " " &amp; INDEX(PRODUCTORES!$C:$C, MATCH(C479, PRODUCTORES!$A:$A, 0)), IFERROR(TRIM(MID(C479, SEARCH(" - ", C479) + 3, 100)), "NO ENCONTRADO"))))</f>
        <v/>
      </c>
      <c r="E479" s="34" t="str">
        <f t="array" ref="E479">IF(C479="","",IFERROR(INDEX(PRODUCTORES!$D:$D, MATCH(C479, PRODUCTORES!$F:$F, 0)), IFERROR(INDEX(PRODUCTORES!$D:$D, MATCH(IF(ISNUMBER(SEARCH(" - ", C479)), LEFT(C479, SEARCH(" - ", C479) - 1), C479), PRODUCTORES!$A:$A, 0)), "-")))</f>
        <v/>
      </c>
      <c r="F479" s="11"/>
      <c r="G479" s="11"/>
    </row>
    <row r="480" ht="15.75" customHeight="1">
      <c r="A480" s="19"/>
      <c r="B480" s="11"/>
      <c r="C480" s="33"/>
      <c r="D480" s="34" t="str">
        <f t="array" ref="D480">IF(C480="","",IFERROR(INDEX(PRODUCTORES!$B:$B, MATCH(C480, PRODUCTORES!$F:$F, 0)) &amp; " " &amp; INDEX(PRODUCTORES!$C:$C, MATCH(C480, PRODUCTORES!$F:$F, 0)), IFERROR(INDEX(PRODUCTORES!$B:$B, MATCH(C480, PRODUCTORES!$A:$A, 0)) &amp; " " &amp; INDEX(PRODUCTORES!$C:$C, MATCH(C480, PRODUCTORES!$A:$A, 0)), IFERROR(TRIM(MID(C480, SEARCH(" - ", C480) + 3, 100)), "NO ENCONTRADO"))))</f>
        <v/>
      </c>
      <c r="E480" s="34" t="str">
        <f t="array" ref="E480">IF(C480="","",IFERROR(INDEX(PRODUCTORES!$D:$D, MATCH(C480, PRODUCTORES!$F:$F, 0)), IFERROR(INDEX(PRODUCTORES!$D:$D, MATCH(IF(ISNUMBER(SEARCH(" - ", C480)), LEFT(C480, SEARCH(" - ", C480) - 1), C480), PRODUCTORES!$A:$A, 0)), "-")))</f>
        <v/>
      </c>
      <c r="F480" s="11"/>
      <c r="G480" s="11"/>
    </row>
    <row r="481" ht="15.75" customHeight="1">
      <c r="A481" s="19"/>
      <c r="B481" s="11"/>
      <c r="C481" s="33"/>
      <c r="D481" s="34" t="str">
        <f t="array" ref="D481">IF(C481="","",IFERROR(INDEX(PRODUCTORES!$B:$B, MATCH(C481, PRODUCTORES!$F:$F, 0)) &amp; " " &amp; INDEX(PRODUCTORES!$C:$C, MATCH(C481, PRODUCTORES!$F:$F, 0)), IFERROR(INDEX(PRODUCTORES!$B:$B, MATCH(C481, PRODUCTORES!$A:$A, 0)) &amp; " " &amp; INDEX(PRODUCTORES!$C:$C, MATCH(C481, PRODUCTORES!$A:$A, 0)), IFERROR(TRIM(MID(C481, SEARCH(" - ", C481) + 3, 100)), "NO ENCONTRADO"))))</f>
        <v/>
      </c>
      <c r="E481" s="34" t="str">
        <f t="array" ref="E481">IF(C481="","",IFERROR(INDEX(PRODUCTORES!$D:$D, MATCH(C481, PRODUCTORES!$F:$F, 0)), IFERROR(INDEX(PRODUCTORES!$D:$D, MATCH(IF(ISNUMBER(SEARCH(" - ", C481)), LEFT(C481, SEARCH(" - ", C481) - 1), C481), PRODUCTORES!$A:$A, 0)), "-")))</f>
        <v/>
      </c>
      <c r="F481" s="11"/>
      <c r="G481" s="11"/>
    </row>
    <row r="482" ht="15.75" customHeight="1">
      <c r="A482" s="19"/>
      <c r="B482" s="11"/>
      <c r="C482" s="33"/>
      <c r="D482" s="34" t="str">
        <f t="array" ref="D482">IF(C482="","",IFERROR(INDEX(PRODUCTORES!$B:$B, MATCH(C482, PRODUCTORES!$F:$F, 0)) &amp; " " &amp; INDEX(PRODUCTORES!$C:$C, MATCH(C482, PRODUCTORES!$F:$F, 0)), IFERROR(INDEX(PRODUCTORES!$B:$B, MATCH(C482, PRODUCTORES!$A:$A, 0)) &amp; " " &amp; INDEX(PRODUCTORES!$C:$C, MATCH(C482, PRODUCTORES!$A:$A, 0)), IFERROR(TRIM(MID(C482, SEARCH(" - ", C482) + 3, 100)), "NO ENCONTRADO"))))</f>
        <v/>
      </c>
      <c r="E482" s="34" t="str">
        <f t="array" ref="E482">IF(C482="","",IFERROR(INDEX(PRODUCTORES!$D:$D, MATCH(C482, PRODUCTORES!$F:$F, 0)), IFERROR(INDEX(PRODUCTORES!$D:$D, MATCH(IF(ISNUMBER(SEARCH(" - ", C482)), LEFT(C482, SEARCH(" - ", C482) - 1), C482), PRODUCTORES!$A:$A, 0)), "-")))</f>
        <v/>
      </c>
      <c r="F482" s="11"/>
      <c r="G482" s="11"/>
    </row>
    <row r="483" ht="15.75" customHeight="1">
      <c r="A483" s="19"/>
      <c r="B483" s="11"/>
      <c r="C483" s="33"/>
      <c r="D483" s="34" t="str">
        <f t="array" ref="D483">IF(C483="","",IFERROR(INDEX(PRODUCTORES!$B:$B, MATCH(C483, PRODUCTORES!$F:$F, 0)) &amp; " " &amp; INDEX(PRODUCTORES!$C:$C, MATCH(C483, PRODUCTORES!$F:$F, 0)), IFERROR(INDEX(PRODUCTORES!$B:$B, MATCH(C483, PRODUCTORES!$A:$A, 0)) &amp; " " &amp; INDEX(PRODUCTORES!$C:$C, MATCH(C483, PRODUCTORES!$A:$A, 0)), IFERROR(TRIM(MID(C483, SEARCH(" - ", C483) + 3, 100)), "NO ENCONTRADO"))))</f>
        <v/>
      </c>
      <c r="E483" s="34" t="str">
        <f t="array" ref="E483">IF(C483="","",IFERROR(INDEX(PRODUCTORES!$D:$D, MATCH(C483, PRODUCTORES!$F:$F, 0)), IFERROR(INDEX(PRODUCTORES!$D:$D, MATCH(IF(ISNUMBER(SEARCH(" - ", C483)), LEFT(C483, SEARCH(" - ", C483) - 1), C483), PRODUCTORES!$A:$A, 0)), "-")))</f>
        <v/>
      </c>
      <c r="F483" s="11"/>
      <c r="G483" s="11"/>
    </row>
    <row r="484" ht="15.75" customHeight="1">
      <c r="A484" s="19"/>
      <c r="B484" s="11"/>
      <c r="C484" s="33"/>
      <c r="D484" s="34" t="str">
        <f t="array" ref="D484">IF(C484="","",IFERROR(INDEX(PRODUCTORES!$B:$B, MATCH(C484, PRODUCTORES!$F:$F, 0)) &amp; " " &amp; INDEX(PRODUCTORES!$C:$C, MATCH(C484, PRODUCTORES!$F:$F, 0)), IFERROR(INDEX(PRODUCTORES!$B:$B, MATCH(C484, PRODUCTORES!$A:$A, 0)) &amp; " " &amp; INDEX(PRODUCTORES!$C:$C, MATCH(C484, PRODUCTORES!$A:$A, 0)), IFERROR(TRIM(MID(C484, SEARCH(" - ", C484) + 3, 100)), "NO ENCONTRADO"))))</f>
        <v/>
      </c>
      <c r="E484" s="34" t="str">
        <f t="array" ref="E484">IF(C484="","",IFERROR(INDEX(PRODUCTORES!$D:$D, MATCH(C484, PRODUCTORES!$F:$F, 0)), IFERROR(INDEX(PRODUCTORES!$D:$D, MATCH(IF(ISNUMBER(SEARCH(" - ", C484)), LEFT(C484, SEARCH(" - ", C484) - 1), C484), PRODUCTORES!$A:$A, 0)), "-")))</f>
        <v/>
      </c>
      <c r="F484" s="11"/>
      <c r="G484" s="11"/>
    </row>
    <row r="485" ht="15.75" customHeight="1">
      <c r="A485" s="19"/>
      <c r="B485" s="11"/>
      <c r="C485" s="33"/>
      <c r="D485" s="34" t="str">
        <f t="array" ref="D485">IF(C485="","",IFERROR(INDEX(PRODUCTORES!$B:$B, MATCH(C485, PRODUCTORES!$F:$F, 0)) &amp; " " &amp; INDEX(PRODUCTORES!$C:$C, MATCH(C485, PRODUCTORES!$F:$F, 0)), IFERROR(INDEX(PRODUCTORES!$B:$B, MATCH(C485, PRODUCTORES!$A:$A, 0)) &amp; " " &amp; INDEX(PRODUCTORES!$C:$C, MATCH(C485, PRODUCTORES!$A:$A, 0)), IFERROR(TRIM(MID(C485, SEARCH(" - ", C485) + 3, 100)), "NO ENCONTRADO"))))</f>
        <v/>
      </c>
      <c r="E485" s="34" t="str">
        <f t="array" ref="E485">IF(C485="","",IFERROR(INDEX(PRODUCTORES!$D:$D, MATCH(C485, PRODUCTORES!$F:$F, 0)), IFERROR(INDEX(PRODUCTORES!$D:$D, MATCH(IF(ISNUMBER(SEARCH(" - ", C485)), LEFT(C485, SEARCH(" - ", C485) - 1), C485), PRODUCTORES!$A:$A, 0)), "-")))</f>
        <v/>
      </c>
      <c r="F485" s="11"/>
      <c r="G485" s="11"/>
    </row>
    <row r="486" ht="15.75" customHeight="1">
      <c r="A486" s="19"/>
      <c r="B486" s="11"/>
      <c r="C486" s="33"/>
      <c r="D486" s="34" t="str">
        <f t="array" ref="D486">IF(C486="","",IFERROR(INDEX(PRODUCTORES!$B:$B, MATCH(C486, PRODUCTORES!$F:$F, 0)) &amp; " " &amp; INDEX(PRODUCTORES!$C:$C, MATCH(C486, PRODUCTORES!$F:$F, 0)), IFERROR(INDEX(PRODUCTORES!$B:$B, MATCH(C486, PRODUCTORES!$A:$A, 0)) &amp; " " &amp; INDEX(PRODUCTORES!$C:$C, MATCH(C486, PRODUCTORES!$A:$A, 0)), IFERROR(TRIM(MID(C486, SEARCH(" - ", C486) + 3, 100)), "NO ENCONTRADO"))))</f>
        <v/>
      </c>
      <c r="E486" s="34" t="str">
        <f t="array" ref="E486">IF(C486="","",IFERROR(INDEX(PRODUCTORES!$D:$D, MATCH(C486, PRODUCTORES!$F:$F, 0)), IFERROR(INDEX(PRODUCTORES!$D:$D, MATCH(IF(ISNUMBER(SEARCH(" - ", C486)), LEFT(C486, SEARCH(" - ", C486) - 1), C486), PRODUCTORES!$A:$A, 0)), "-")))</f>
        <v/>
      </c>
      <c r="F486" s="11"/>
      <c r="G486" s="11"/>
    </row>
    <row r="487" ht="15.75" customHeight="1">
      <c r="A487" s="19"/>
      <c r="B487" s="11"/>
      <c r="C487" s="33"/>
      <c r="D487" s="34" t="str">
        <f t="array" ref="D487">IF(C487="","",IFERROR(INDEX(PRODUCTORES!$B:$B, MATCH(C487, PRODUCTORES!$F:$F, 0)) &amp; " " &amp; INDEX(PRODUCTORES!$C:$C, MATCH(C487, PRODUCTORES!$F:$F, 0)), IFERROR(INDEX(PRODUCTORES!$B:$B, MATCH(C487, PRODUCTORES!$A:$A, 0)) &amp; " " &amp; INDEX(PRODUCTORES!$C:$C, MATCH(C487, PRODUCTORES!$A:$A, 0)), IFERROR(TRIM(MID(C487, SEARCH(" - ", C487) + 3, 100)), "NO ENCONTRADO"))))</f>
        <v/>
      </c>
      <c r="E487" s="34" t="str">
        <f t="array" ref="E487">IF(C487="","",IFERROR(INDEX(PRODUCTORES!$D:$D, MATCH(C487, PRODUCTORES!$F:$F, 0)), IFERROR(INDEX(PRODUCTORES!$D:$D, MATCH(IF(ISNUMBER(SEARCH(" - ", C487)), LEFT(C487, SEARCH(" - ", C487) - 1), C487), PRODUCTORES!$A:$A, 0)), "-")))</f>
        <v/>
      </c>
      <c r="F487" s="11"/>
      <c r="G487" s="11"/>
    </row>
    <row r="488" ht="15.75" customHeight="1">
      <c r="A488" s="19"/>
      <c r="B488" s="11"/>
      <c r="C488" s="33"/>
      <c r="D488" s="34" t="str">
        <f t="array" ref="D488">IF(C488="","",IFERROR(INDEX(PRODUCTORES!$B:$B, MATCH(C488, PRODUCTORES!$F:$F, 0)) &amp; " " &amp; INDEX(PRODUCTORES!$C:$C, MATCH(C488, PRODUCTORES!$F:$F, 0)), IFERROR(INDEX(PRODUCTORES!$B:$B, MATCH(C488, PRODUCTORES!$A:$A, 0)) &amp; " " &amp; INDEX(PRODUCTORES!$C:$C, MATCH(C488, PRODUCTORES!$A:$A, 0)), IFERROR(TRIM(MID(C488, SEARCH(" - ", C488) + 3, 100)), "NO ENCONTRADO"))))</f>
        <v/>
      </c>
      <c r="E488" s="34" t="str">
        <f t="array" ref="E488">IF(C488="","",IFERROR(INDEX(PRODUCTORES!$D:$D, MATCH(C488, PRODUCTORES!$F:$F, 0)), IFERROR(INDEX(PRODUCTORES!$D:$D, MATCH(IF(ISNUMBER(SEARCH(" - ", C488)), LEFT(C488, SEARCH(" - ", C488) - 1), C488), PRODUCTORES!$A:$A, 0)), "-")))</f>
        <v/>
      </c>
      <c r="F488" s="11"/>
      <c r="G488" s="11"/>
    </row>
    <row r="489" ht="15.75" customHeight="1">
      <c r="A489" s="19"/>
      <c r="B489" s="11"/>
      <c r="C489" s="33"/>
      <c r="D489" s="34" t="str">
        <f t="array" ref="D489">IF(C489="","",IFERROR(INDEX(PRODUCTORES!$B:$B, MATCH(C489, PRODUCTORES!$F:$F, 0)) &amp; " " &amp; INDEX(PRODUCTORES!$C:$C, MATCH(C489, PRODUCTORES!$F:$F, 0)), IFERROR(INDEX(PRODUCTORES!$B:$B, MATCH(C489, PRODUCTORES!$A:$A, 0)) &amp; " " &amp; INDEX(PRODUCTORES!$C:$C, MATCH(C489, PRODUCTORES!$A:$A, 0)), IFERROR(TRIM(MID(C489, SEARCH(" - ", C489) + 3, 100)), "NO ENCONTRADO"))))</f>
        <v/>
      </c>
      <c r="E489" s="34" t="str">
        <f t="array" ref="E489">IF(C489="","",IFERROR(INDEX(PRODUCTORES!$D:$D, MATCH(C489, PRODUCTORES!$F:$F, 0)), IFERROR(INDEX(PRODUCTORES!$D:$D, MATCH(IF(ISNUMBER(SEARCH(" - ", C489)), LEFT(C489, SEARCH(" - ", C489) - 1), C489), PRODUCTORES!$A:$A, 0)), "-")))</f>
        <v/>
      </c>
      <c r="F489" s="11"/>
      <c r="G489" s="11"/>
    </row>
    <row r="490" ht="15.75" customHeight="1">
      <c r="A490" s="19"/>
      <c r="B490" s="11"/>
      <c r="C490" s="33"/>
      <c r="D490" s="34" t="str">
        <f t="array" ref="D490">IF(C490="","",IFERROR(INDEX(PRODUCTORES!$B:$B, MATCH(C490, PRODUCTORES!$F:$F, 0)) &amp; " " &amp; INDEX(PRODUCTORES!$C:$C, MATCH(C490, PRODUCTORES!$F:$F, 0)), IFERROR(INDEX(PRODUCTORES!$B:$B, MATCH(C490, PRODUCTORES!$A:$A, 0)) &amp; " " &amp; INDEX(PRODUCTORES!$C:$C, MATCH(C490, PRODUCTORES!$A:$A, 0)), IFERROR(TRIM(MID(C490, SEARCH(" - ", C490) + 3, 100)), "NO ENCONTRADO"))))</f>
        <v/>
      </c>
      <c r="E490" s="34" t="str">
        <f t="array" ref="E490">IF(C490="","",IFERROR(INDEX(PRODUCTORES!$D:$D, MATCH(C490, PRODUCTORES!$F:$F, 0)), IFERROR(INDEX(PRODUCTORES!$D:$D, MATCH(IF(ISNUMBER(SEARCH(" - ", C490)), LEFT(C490, SEARCH(" - ", C490) - 1), C490), PRODUCTORES!$A:$A, 0)), "-")))</f>
        <v/>
      </c>
      <c r="F490" s="11"/>
      <c r="G490" s="11"/>
    </row>
    <row r="491" ht="15.75" customHeight="1">
      <c r="A491" s="19"/>
      <c r="B491" s="11"/>
      <c r="C491" s="33"/>
      <c r="D491" s="34" t="str">
        <f t="array" ref="D491">IF(C491="","",IFERROR(INDEX(PRODUCTORES!$B:$B, MATCH(C491, PRODUCTORES!$F:$F, 0)) &amp; " " &amp; INDEX(PRODUCTORES!$C:$C, MATCH(C491, PRODUCTORES!$F:$F, 0)), IFERROR(INDEX(PRODUCTORES!$B:$B, MATCH(C491, PRODUCTORES!$A:$A, 0)) &amp; " " &amp; INDEX(PRODUCTORES!$C:$C, MATCH(C491, PRODUCTORES!$A:$A, 0)), IFERROR(TRIM(MID(C491, SEARCH(" - ", C491) + 3, 100)), "NO ENCONTRADO"))))</f>
        <v/>
      </c>
      <c r="E491" s="34" t="str">
        <f t="array" ref="E491">IF(C491="","",IFERROR(INDEX(PRODUCTORES!$D:$D, MATCH(C491, PRODUCTORES!$F:$F, 0)), IFERROR(INDEX(PRODUCTORES!$D:$D, MATCH(IF(ISNUMBER(SEARCH(" - ", C491)), LEFT(C491, SEARCH(" - ", C491) - 1), C491), PRODUCTORES!$A:$A, 0)), "-")))</f>
        <v/>
      </c>
      <c r="F491" s="11"/>
      <c r="G491" s="11"/>
    </row>
    <row r="492" ht="15.75" customHeight="1">
      <c r="A492" s="19"/>
      <c r="B492" s="11"/>
      <c r="C492" s="33"/>
      <c r="D492" s="34" t="str">
        <f t="array" ref="D492">IF(C492="","",IFERROR(INDEX(PRODUCTORES!$B:$B, MATCH(C492, PRODUCTORES!$F:$F, 0)) &amp; " " &amp; INDEX(PRODUCTORES!$C:$C, MATCH(C492, PRODUCTORES!$F:$F, 0)), IFERROR(INDEX(PRODUCTORES!$B:$B, MATCH(C492, PRODUCTORES!$A:$A, 0)) &amp; " " &amp; INDEX(PRODUCTORES!$C:$C, MATCH(C492, PRODUCTORES!$A:$A, 0)), IFERROR(TRIM(MID(C492, SEARCH(" - ", C492) + 3, 100)), "NO ENCONTRADO"))))</f>
        <v/>
      </c>
      <c r="E492" s="34" t="str">
        <f t="array" ref="E492">IF(C492="","",IFERROR(INDEX(PRODUCTORES!$D:$D, MATCH(C492, PRODUCTORES!$F:$F, 0)), IFERROR(INDEX(PRODUCTORES!$D:$D, MATCH(IF(ISNUMBER(SEARCH(" - ", C492)), LEFT(C492, SEARCH(" - ", C492) - 1), C492), PRODUCTORES!$A:$A, 0)), "-")))</f>
        <v/>
      </c>
      <c r="F492" s="11"/>
      <c r="G492" s="11"/>
    </row>
    <row r="493" ht="15.75" customHeight="1">
      <c r="A493" s="19"/>
      <c r="B493" s="11"/>
      <c r="C493" s="33"/>
      <c r="D493" s="34" t="str">
        <f t="array" ref="D493">IF(C493="","",IFERROR(INDEX(PRODUCTORES!$B:$B, MATCH(C493, PRODUCTORES!$F:$F, 0)) &amp; " " &amp; INDEX(PRODUCTORES!$C:$C, MATCH(C493, PRODUCTORES!$F:$F, 0)), IFERROR(INDEX(PRODUCTORES!$B:$B, MATCH(C493, PRODUCTORES!$A:$A, 0)) &amp; " " &amp; INDEX(PRODUCTORES!$C:$C, MATCH(C493, PRODUCTORES!$A:$A, 0)), IFERROR(TRIM(MID(C493, SEARCH(" - ", C493) + 3, 100)), "NO ENCONTRADO"))))</f>
        <v/>
      </c>
      <c r="E493" s="34" t="str">
        <f t="array" ref="E493">IF(C493="","",IFERROR(INDEX(PRODUCTORES!$D:$D, MATCH(C493, PRODUCTORES!$F:$F, 0)), IFERROR(INDEX(PRODUCTORES!$D:$D, MATCH(IF(ISNUMBER(SEARCH(" - ", C493)), LEFT(C493, SEARCH(" - ", C493) - 1), C493), PRODUCTORES!$A:$A, 0)), "-")))</f>
        <v/>
      </c>
      <c r="F493" s="11"/>
      <c r="G493" s="11"/>
    </row>
    <row r="494" ht="15.75" customHeight="1">
      <c r="A494" s="19"/>
      <c r="B494" s="11"/>
      <c r="C494" s="33"/>
      <c r="D494" s="34" t="str">
        <f t="array" ref="D494">IF(C494="","",IFERROR(INDEX(PRODUCTORES!$B:$B, MATCH(C494, PRODUCTORES!$F:$F, 0)) &amp; " " &amp; INDEX(PRODUCTORES!$C:$C, MATCH(C494, PRODUCTORES!$F:$F, 0)), IFERROR(INDEX(PRODUCTORES!$B:$B, MATCH(C494, PRODUCTORES!$A:$A, 0)) &amp; " " &amp; INDEX(PRODUCTORES!$C:$C, MATCH(C494, PRODUCTORES!$A:$A, 0)), IFERROR(TRIM(MID(C494, SEARCH(" - ", C494) + 3, 100)), "NO ENCONTRADO"))))</f>
        <v/>
      </c>
      <c r="E494" s="34" t="str">
        <f t="array" ref="E494">IF(C494="","",IFERROR(INDEX(PRODUCTORES!$D:$D, MATCH(C494, PRODUCTORES!$F:$F, 0)), IFERROR(INDEX(PRODUCTORES!$D:$D, MATCH(IF(ISNUMBER(SEARCH(" - ", C494)), LEFT(C494, SEARCH(" - ", C494) - 1), C494), PRODUCTORES!$A:$A, 0)), "-")))</f>
        <v/>
      </c>
      <c r="F494" s="11"/>
      <c r="G494" s="11"/>
    </row>
    <row r="495" ht="15.75" customHeight="1">
      <c r="A495" s="19"/>
      <c r="B495" s="11"/>
      <c r="C495" s="33"/>
      <c r="D495" s="34" t="str">
        <f t="array" ref="D495">IF(C495="","",IFERROR(INDEX(PRODUCTORES!$B:$B, MATCH(C495, PRODUCTORES!$F:$F, 0)) &amp; " " &amp; INDEX(PRODUCTORES!$C:$C, MATCH(C495, PRODUCTORES!$F:$F, 0)), IFERROR(INDEX(PRODUCTORES!$B:$B, MATCH(C495, PRODUCTORES!$A:$A, 0)) &amp; " " &amp; INDEX(PRODUCTORES!$C:$C, MATCH(C495, PRODUCTORES!$A:$A, 0)), IFERROR(TRIM(MID(C495, SEARCH(" - ", C495) + 3, 100)), "NO ENCONTRADO"))))</f>
        <v/>
      </c>
      <c r="E495" s="34" t="str">
        <f t="array" ref="E495">IF(C495="","",IFERROR(INDEX(PRODUCTORES!$D:$D, MATCH(C495, PRODUCTORES!$F:$F, 0)), IFERROR(INDEX(PRODUCTORES!$D:$D, MATCH(IF(ISNUMBER(SEARCH(" - ", C495)), LEFT(C495, SEARCH(" - ", C495) - 1), C495), PRODUCTORES!$A:$A, 0)), "-")))</f>
        <v/>
      </c>
      <c r="F495" s="11"/>
      <c r="G495" s="11"/>
    </row>
    <row r="496" ht="15.75" customHeight="1">
      <c r="A496" s="19"/>
      <c r="B496" s="11"/>
      <c r="C496" s="33"/>
      <c r="D496" s="34" t="str">
        <f t="array" ref="D496">IF(C496="","",IFERROR(INDEX(PRODUCTORES!$B:$B, MATCH(C496, PRODUCTORES!$F:$F, 0)) &amp; " " &amp; INDEX(PRODUCTORES!$C:$C, MATCH(C496, PRODUCTORES!$F:$F, 0)), IFERROR(INDEX(PRODUCTORES!$B:$B, MATCH(C496, PRODUCTORES!$A:$A, 0)) &amp; " " &amp; INDEX(PRODUCTORES!$C:$C, MATCH(C496, PRODUCTORES!$A:$A, 0)), IFERROR(TRIM(MID(C496, SEARCH(" - ", C496) + 3, 100)), "NO ENCONTRADO"))))</f>
        <v/>
      </c>
      <c r="E496" s="34" t="str">
        <f t="array" ref="E496">IF(C496="","",IFERROR(INDEX(PRODUCTORES!$D:$D, MATCH(C496, PRODUCTORES!$F:$F, 0)), IFERROR(INDEX(PRODUCTORES!$D:$D, MATCH(IF(ISNUMBER(SEARCH(" - ", C496)), LEFT(C496, SEARCH(" - ", C496) - 1), C496), PRODUCTORES!$A:$A, 0)), "-")))</f>
        <v/>
      </c>
      <c r="F496" s="11"/>
      <c r="G496" s="11"/>
    </row>
    <row r="497" ht="15.75" customHeight="1">
      <c r="A497" s="19"/>
      <c r="B497" s="11"/>
      <c r="C497" s="33"/>
      <c r="D497" s="34" t="str">
        <f t="array" ref="D497">IF(C497="","",IFERROR(INDEX(PRODUCTORES!$B:$B, MATCH(C497, PRODUCTORES!$F:$F, 0)) &amp; " " &amp; INDEX(PRODUCTORES!$C:$C, MATCH(C497, PRODUCTORES!$F:$F, 0)), IFERROR(INDEX(PRODUCTORES!$B:$B, MATCH(C497, PRODUCTORES!$A:$A, 0)) &amp; " " &amp; INDEX(PRODUCTORES!$C:$C, MATCH(C497, PRODUCTORES!$A:$A, 0)), IFERROR(TRIM(MID(C497, SEARCH(" - ", C497) + 3, 100)), "NO ENCONTRADO"))))</f>
        <v/>
      </c>
      <c r="E497" s="34" t="str">
        <f t="array" ref="E497">IF(C497="","",IFERROR(INDEX(PRODUCTORES!$D:$D, MATCH(C497, PRODUCTORES!$F:$F, 0)), IFERROR(INDEX(PRODUCTORES!$D:$D, MATCH(IF(ISNUMBER(SEARCH(" - ", C497)), LEFT(C497, SEARCH(" - ", C497) - 1), C497), PRODUCTORES!$A:$A, 0)), "-")))</f>
        <v/>
      </c>
      <c r="F497" s="11"/>
      <c r="G497" s="11"/>
    </row>
    <row r="498" ht="15.75" customHeight="1">
      <c r="A498" s="19"/>
      <c r="B498" s="11"/>
      <c r="C498" s="33"/>
      <c r="D498" s="34" t="str">
        <f t="array" ref="D498">IF(C498="","",IFERROR(INDEX(PRODUCTORES!$B:$B, MATCH(C498, PRODUCTORES!$F:$F, 0)) &amp; " " &amp; INDEX(PRODUCTORES!$C:$C, MATCH(C498, PRODUCTORES!$F:$F, 0)), IFERROR(INDEX(PRODUCTORES!$B:$B, MATCH(C498, PRODUCTORES!$A:$A, 0)) &amp; " " &amp; INDEX(PRODUCTORES!$C:$C, MATCH(C498, PRODUCTORES!$A:$A, 0)), IFERROR(TRIM(MID(C498, SEARCH(" - ", C498) + 3, 100)), "NO ENCONTRADO"))))</f>
        <v/>
      </c>
      <c r="E498" s="34" t="str">
        <f t="array" ref="E498">IF(C498="","",IFERROR(INDEX(PRODUCTORES!$D:$D, MATCH(C498, PRODUCTORES!$F:$F, 0)), IFERROR(INDEX(PRODUCTORES!$D:$D, MATCH(IF(ISNUMBER(SEARCH(" - ", C498)), LEFT(C498, SEARCH(" - ", C498) - 1), C498), PRODUCTORES!$A:$A, 0)), "-")))</f>
        <v/>
      </c>
      <c r="F498" s="11"/>
      <c r="G498" s="11"/>
    </row>
    <row r="499" ht="15.75" customHeight="1">
      <c r="A499" s="19"/>
      <c r="B499" s="11"/>
      <c r="C499" s="33"/>
      <c r="D499" s="34" t="str">
        <f t="array" ref="D499">IF(C499="","",IFERROR(INDEX(PRODUCTORES!$B:$B, MATCH(C499, PRODUCTORES!$F:$F, 0)) &amp; " " &amp; INDEX(PRODUCTORES!$C:$C, MATCH(C499, PRODUCTORES!$F:$F, 0)), IFERROR(INDEX(PRODUCTORES!$B:$B, MATCH(C499, PRODUCTORES!$A:$A, 0)) &amp; " " &amp; INDEX(PRODUCTORES!$C:$C, MATCH(C499, PRODUCTORES!$A:$A, 0)), IFERROR(TRIM(MID(C499, SEARCH(" - ", C499) + 3, 100)), "NO ENCONTRADO"))))</f>
        <v/>
      </c>
      <c r="E499" s="34" t="str">
        <f t="array" ref="E499">IF(C499="","",IFERROR(INDEX(PRODUCTORES!$D:$D, MATCH(C499, PRODUCTORES!$F:$F, 0)), IFERROR(INDEX(PRODUCTORES!$D:$D, MATCH(IF(ISNUMBER(SEARCH(" - ", C499)), LEFT(C499, SEARCH(" - ", C499) - 1), C499), PRODUCTORES!$A:$A, 0)), "-")))</f>
        <v/>
      </c>
      <c r="F499" s="11"/>
      <c r="G499" s="11"/>
    </row>
    <row r="500" ht="15.75" customHeight="1">
      <c r="A500" s="19"/>
      <c r="B500" s="11"/>
      <c r="C500" s="33"/>
      <c r="D500" s="34" t="str">
        <f t="array" ref="D500">IF(C500="","",IFERROR(INDEX(PRODUCTORES!$B:$B, MATCH(C500, PRODUCTORES!$F:$F, 0)) &amp; " " &amp; INDEX(PRODUCTORES!$C:$C, MATCH(C500, PRODUCTORES!$F:$F, 0)), IFERROR(INDEX(PRODUCTORES!$B:$B, MATCH(C500, PRODUCTORES!$A:$A, 0)) &amp; " " &amp; INDEX(PRODUCTORES!$C:$C, MATCH(C500, PRODUCTORES!$A:$A, 0)), IFERROR(TRIM(MID(C500, SEARCH(" - ", C500) + 3, 100)), "NO ENCONTRADO"))))</f>
        <v/>
      </c>
      <c r="E500" s="34" t="str">
        <f t="array" ref="E500">IF(C500="","",IFERROR(INDEX(PRODUCTORES!$D:$D, MATCH(C500, PRODUCTORES!$F:$F, 0)), IFERROR(INDEX(PRODUCTORES!$D:$D, MATCH(IF(ISNUMBER(SEARCH(" - ", C500)), LEFT(C500, SEARCH(" - ", C500) - 1), C500), PRODUCTORES!$A:$A, 0)), "-")))</f>
        <v/>
      </c>
      <c r="F500" s="11"/>
      <c r="G500" s="11"/>
    </row>
    <row r="501" ht="15.75" customHeight="1">
      <c r="A501" s="19"/>
      <c r="B501" s="35"/>
      <c r="C501" s="36"/>
      <c r="F501" s="11"/>
      <c r="G501" s="11"/>
    </row>
    <row r="502" ht="15.75" customHeight="1">
      <c r="A502" s="19"/>
      <c r="B502" s="35"/>
      <c r="C502" s="36"/>
      <c r="F502" s="11"/>
      <c r="G502" s="11"/>
    </row>
    <row r="503" ht="15.75" customHeight="1">
      <c r="A503" s="19"/>
      <c r="B503" s="35"/>
      <c r="C503" s="36"/>
      <c r="F503" s="11"/>
      <c r="G503" s="11"/>
    </row>
    <row r="504" ht="15.75" customHeight="1">
      <c r="A504" s="19"/>
      <c r="B504" s="35"/>
      <c r="C504" s="36"/>
      <c r="F504" s="11"/>
      <c r="G504" s="11"/>
    </row>
    <row r="505" ht="15.75" customHeight="1">
      <c r="A505" s="19"/>
      <c r="B505" s="11"/>
      <c r="C505" s="33"/>
      <c r="F505" s="11"/>
      <c r="G505" s="11"/>
    </row>
    <row r="506" ht="15.75" customHeight="1">
      <c r="A506" s="19"/>
      <c r="B506" s="11"/>
      <c r="C506" s="33"/>
      <c r="F506" s="11"/>
      <c r="G506" s="11"/>
    </row>
    <row r="507" ht="15.75" customHeight="1">
      <c r="A507" s="19"/>
      <c r="B507" s="11"/>
      <c r="C507" s="33"/>
      <c r="F507" s="11"/>
      <c r="G507" s="11"/>
    </row>
    <row r="508" ht="15.75" customHeight="1">
      <c r="A508" s="19"/>
      <c r="B508" s="11"/>
      <c r="C508" s="33"/>
      <c r="F508" s="11"/>
      <c r="G508" s="11"/>
    </row>
    <row r="509" ht="15.75" customHeight="1">
      <c r="A509" s="19"/>
      <c r="B509" s="11"/>
      <c r="C509" s="33"/>
      <c r="F509" s="11"/>
      <c r="G509" s="11"/>
    </row>
    <row r="510" ht="15.75" customHeight="1">
      <c r="A510" s="19"/>
      <c r="B510" s="11"/>
      <c r="C510" s="33"/>
      <c r="F510" s="11"/>
      <c r="G510" s="11"/>
    </row>
    <row r="511" ht="15.75" customHeight="1">
      <c r="A511" s="19"/>
      <c r="B511" s="11"/>
      <c r="C511" s="33"/>
      <c r="F511" s="11"/>
      <c r="G511" s="11"/>
    </row>
    <row r="512" ht="15.75" customHeight="1">
      <c r="A512" s="19"/>
      <c r="B512" s="11"/>
      <c r="C512" s="33"/>
      <c r="F512" s="11"/>
      <c r="G512" s="11"/>
    </row>
    <row r="513" ht="15.75" customHeight="1">
      <c r="A513" s="19"/>
      <c r="B513" s="11"/>
      <c r="C513" s="33"/>
      <c r="F513" s="11"/>
      <c r="G513" s="11"/>
    </row>
    <row r="514" ht="15.75" customHeight="1">
      <c r="A514" s="19"/>
      <c r="B514" s="11"/>
      <c r="C514" s="33"/>
      <c r="F514" s="11"/>
      <c r="G514" s="11"/>
    </row>
    <row r="515" ht="15.75" customHeight="1">
      <c r="A515" s="19"/>
      <c r="B515" s="11"/>
      <c r="C515" s="33"/>
      <c r="F515" s="11"/>
      <c r="G515" s="11"/>
    </row>
    <row r="516" ht="15.75" customHeight="1">
      <c r="A516" s="19"/>
      <c r="B516" s="11"/>
      <c r="C516" s="33"/>
      <c r="F516" s="11"/>
      <c r="G516" s="11"/>
    </row>
    <row r="517" ht="15.75" customHeight="1">
      <c r="A517" s="19"/>
      <c r="B517" s="11"/>
      <c r="C517" s="33"/>
      <c r="F517" s="11"/>
      <c r="G517" s="11"/>
    </row>
    <row r="518" ht="15.75" customHeight="1">
      <c r="A518" s="19"/>
      <c r="B518" s="11"/>
      <c r="C518" s="33"/>
      <c r="F518" s="11"/>
      <c r="G518" s="11"/>
    </row>
    <row r="519" ht="15.75" customHeight="1">
      <c r="A519" s="19"/>
      <c r="B519" s="11"/>
      <c r="C519" s="33"/>
      <c r="F519" s="11"/>
      <c r="G519" s="11"/>
    </row>
    <row r="520" ht="15.75" customHeight="1">
      <c r="A520" s="19"/>
      <c r="B520" s="11"/>
      <c r="C520" s="33"/>
      <c r="F520" s="11"/>
      <c r="G520" s="11"/>
    </row>
    <row r="521" ht="15.75" customHeight="1">
      <c r="A521" s="19"/>
      <c r="B521" s="11"/>
      <c r="C521" s="33"/>
      <c r="F521" s="11"/>
      <c r="G521" s="11"/>
    </row>
    <row r="522" ht="15.75" customHeight="1">
      <c r="A522" s="19"/>
      <c r="B522" s="11"/>
      <c r="C522" s="33"/>
      <c r="F522" s="11"/>
      <c r="G522" s="11"/>
    </row>
    <row r="523" ht="15.75" customHeight="1">
      <c r="A523" s="19"/>
      <c r="B523" s="11"/>
      <c r="C523" s="33"/>
      <c r="F523" s="11"/>
      <c r="G523" s="11"/>
    </row>
    <row r="524" ht="15.75" customHeight="1">
      <c r="A524" s="19"/>
      <c r="B524" s="11"/>
      <c r="C524" s="33"/>
      <c r="F524" s="11"/>
      <c r="G524" s="11"/>
    </row>
    <row r="525" ht="15.75" customHeight="1">
      <c r="A525" s="19"/>
      <c r="B525" s="11"/>
      <c r="C525" s="33"/>
      <c r="F525" s="11"/>
      <c r="G525" s="11"/>
    </row>
    <row r="526" ht="15.75" customHeight="1">
      <c r="A526" s="19"/>
      <c r="B526" s="11"/>
      <c r="C526" s="33"/>
      <c r="F526" s="11"/>
      <c r="G526" s="11"/>
    </row>
    <row r="527" ht="15.75" customHeight="1">
      <c r="A527" s="19"/>
      <c r="B527" s="11"/>
      <c r="C527" s="33"/>
      <c r="F527" s="11"/>
      <c r="G527" s="11"/>
    </row>
    <row r="528" ht="15.75" customHeight="1">
      <c r="A528" s="19"/>
      <c r="B528" s="11"/>
      <c r="C528" s="33"/>
      <c r="F528" s="11"/>
      <c r="G528" s="11"/>
    </row>
    <row r="529" ht="15.75" customHeight="1">
      <c r="A529" s="19"/>
      <c r="B529" s="11"/>
      <c r="C529" s="33"/>
      <c r="F529" s="11"/>
      <c r="G529" s="11"/>
    </row>
    <row r="530" ht="15.75" customHeight="1">
      <c r="A530" s="19"/>
      <c r="B530" s="11"/>
      <c r="C530" s="33"/>
      <c r="F530" s="11"/>
      <c r="G530" s="11"/>
    </row>
    <row r="531" ht="15.75" customHeight="1">
      <c r="A531" s="19"/>
      <c r="B531" s="11"/>
      <c r="C531" s="33"/>
      <c r="F531" s="11"/>
      <c r="G531" s="11"/>
    </row>
    <row r="532" ht="15.75" customHeight="1">
      <c r="A532" s="19"/>
      <c r="B532" s="11"/>
      <c r="C532" s="33"/>
      <c r="F532" s="11"/>
      <c r="G532" s="11"/>
    </row>
    <row r="533" ht="15.75" customHeight="1">
      <c r="A533" s="19"/>
      <c r="B533" s="11"/>
      <c r="C533" s="33"/>
      <c r="F533" s="11"/>
      <c r="G533" s="11"/>
    </row>
    <row r="534" ht="15.75" customHeight="1">
      <c r="A534" s="19"/>
      <c r="B534" s="11"/>
      <c r="C534" s="33"/>
      <c r="F534" s="11"/>
      <c r="G534" s="11"/>
    </row>
    <row r="535" ht="15.75" customHeight="1">
      <c r="A535" s="19"/>
      <c r="B535" s="11"/>
      <c r="C535" s="33"/>
      <c r="F535" s="11"/>
      <c r="G535" s="11"/>
    </row>
    <row r="536" ht="15.75" customHeight="1">
      <c r="A536" s="19"/>
      <c r="B536" s="11"/>
      <c r="C536" s="33"/>
      <c r="F536" s="11"/>
      <c r="G536" s="11"/>
    </row>
    <row r="537" ht="15.75" customHeight="1">
      <c r="A537" s="19"/>
      <c r="B537" s="11"/>
      <c r="C537" s="33"/>
      <c r="F537" s="11"/>
      <c r="G537" s="11"/>
    </row>
    <row r="538" ht="15.75" customHeight="1">
      <c r="A538" s="19"/>
      <c r="B538" s="11"/>
      <c r="C538" s="33"/>
      <c r="F538" s="11"/>
      <c r="G538" s="11"/>
    </row>
    <row r="539" ht="15.75" customHeight="1">
      <c r="A539" s="19"/>
      <c r="B539" s="11"/>
      <c r="C539" s="33"/>
      <c r="F539" s="11"/>
      <c r="G539" s="11"/>
    </row>
    <row r="540" ht="15.75" customHeight="1">
      <c r="A540" s="19"/>
      <c r="B540" s="11"/>
      <c r="C540" s="33"/>
      <c r="F540" s="11"/>
      <c r="G540" s="11"/>
    </row>
    <row r="541" ht="15.75" customHeight="1">
      <c r="A541" s="19"/>
      <c r="B541" s="11"/>
      <c r="C541" s="33"/>
      <c r="F541" s="11"/>
      <c r="G541" s="11"/>
    </row>
    <row r="542" ht="15.75" customHeight="1">
      <c r="A542" s="19"/>
      <c r="B542" s="11"/>
      <c r="C542" s="33"/>
      <c r="F542" s="11"/>
      <c r="G542" s="11"/>
    </row>
    <row r="543" ht="15.75" customHeight="1">
      <c r="A543" s="19"/>
      <c r="B543" s="11"/>
      <c r="C543" s="33"/>
      <c r="F543" s="11"/>
      <c r="G543" s="11"/>
    </row>
    <row r="544" ht="15.75" customHeight="1">
      <c r="A544" s="19"/>
      <c r="B544" s="11"/>
      <c r="C544" s="33"/>
      <c r="F544" s="11"/>
      <c r="G544" s="11"/>
    </row>
    <row r="545" ht="15.75" customHeight="1">
      <c r="A545" s="19"/>
      <c r="B545" s="11"/>
      <c r="C545" s="33"/>
      <c r="F545" s="11"/>
      <c r="G545" s="11"/>
    </row>
    <row r="546" ht="15.75" customHeight="1">
      <c r="A546" s="19"/>
      <c r="B546" s="11"/>
      <c r="C546" s="33"/>
      <c r="F546" s="11"/>
      <c r="G546" s="11"/>
    </row>
    <row r="547" ht="15.75" customHeight="1">
      <c r="A547" s="19"/>
      <c r="B547" s="11"/>
      <c r="C547" s="33"/>
      <c r="F547" s="11"/>
      <c r="G547" s="11"/>
    </row>
    <row r="548" ht="15.75" customHeight="1">
      <c r="A548" s="19"/>
      <c r="B548" s="11"/>
      <c r="C548" s="33"/>
      <c r="F548" s="11"/>
      <c r="G548" s="11"/>
    </row>
    <row r="549" ht="15.75" customHeight="1">
      <c r="A549" s="19"/>
      <c r="B549" s="11"/>
      <c r="C549" s="33"/>
      <c r="F549" s="11"/>
      <c r="G549" s="11"/>
    </row>
    <row r="550" ht="15.75" customHeight="1">
      <c r="A550" s="19"/>
      <c r="B550" s="11"/>
      <c r="C550" s="33"/>
      <c r="F550" s="11"/>
      <c r="G550" s="11"/>
    </row>
    <row r="551" ht="15.75" customHeight="1">
      <c r="A551" s="19"/>
      <c r="B551" s="11"/>
      <c r="C551" s="33"/>
      <c r="F551" s="11"/>
      <c r="G551" s="11"/>
    </row>
    <row r="552" ht="15.75" customHeight="1">
      <c r="A552" s="19"/>
      <c r="B552" s="11"/>
      <c r="C552" s="33"/>
      <c r="F552" s="11"/>
      <c r="G552" s="11"/>
    </row>
    <row r="553" ht="15.75" customHeight="1">
      <c r="A553" s="19"/>
      <c r="B553" s="11"/>
      <c r="C553" s="33"/>
      <c r="F553" s="11"/>
      <c r="G553" s="11"/>
    </row>
    <row r="554" ht="15.75" customHeight="1">
      <c r="A554" s="19"/>
      <c r="B554" s="11"/>
      <c r="C554" s="33"/>
      <c r="F554" s="11"/>
      <c r="G554" s="11"/>
    </row>
    <row r="555" ht="15.75" customHeight="1">
      <c r="A555" s="19"/>
      <c r="B555" s="11"/>
      <c r="C555" s="33"/>
      <c r="F555" s="11"/>
      <c r="G555" s="11"/>
    </row>
    <row r="556" ht="15.75" customHeight="1">
      <c r="A556" s="19"/>
      <c r="B556" s="11"/>
      <c r="C556" s="33"/>
      <c r="F556" s="11"/>
      <c r="G556" s="11"/>
    </row>
    <row r="557" ht="15.75" customHeight="1">
      <c r="A557" s="19"/>
      <c r="B557" s="11"/>
      <c r="C557" s="33"/>
      <c r="F557" s="11"/>
      <c r="G557" s="11"/>
    </row>
    <row r="558" ht="15.75" customHeight="1">
      <c r="A558" s="19"/>
      <c r="B558" s="11"/>
      <c r="C558" s="33"/>
      <c r="F558" s="11"/>
      <c r="G558" s="11"/>
    </row>
    <row r="559" ht="15.75" customHeight="1">
      <c r="A559" s="19"/>
      <c r="B559" s="11"/>
      <c r="C559" s="33"/>
      <c r="F559" s="11"/>
      <c r="G559" s="11"/>
    </row>
    <row r="560" ht="15.75" customHeight="1">
      <c r="A560" s="19"/>
      <c r="B560" s="11"/>
      <c r="C560" s="33"/>
      <c r="F560" s="11"/>
      <c r="G560" s="11"/>
    </row>
    <row r="561" ht="15.75" customHeight="1">
      <c r="A561" s="19"/>
      <c r="B561" s="11"/>
      <c r="C561" s="33"/>
      <c r="F561" s="11"/>
      <c r="G561" s="11"/>
    </row>
    <row r="562" ht="15.75" customHeight="1">
      <c r="A562" s="19"/>
      <c r="B562" s="11"/>
      <c r="C562" s="33"/>
      <c r="F562" s="11"/>
      <c r="G562" s="11"/>
    </row>
    <row r="563" ht="15.75" customHeight="1">
      <c r="A563" s="19"/>
      <c r="B563" s="11"/>
      <c r="C563" s="33"/>
      <c r="F563" s="11"/>
      <c r="G563" s="11"/>
    </row>
    <row r="564" ht="15.75" customHeight="1">
      <c r="A564" s="19"/>
      <c r="B564" s="11"/>
      <c r="C564" s="33"/>
      <c r="F564" s="11"/>
      <c r="G564" s="11"/>
    </row>
    <row r="565" ht="15.75" customHeight="1">
      <c r="A565" s="19"/>
      <c r="B565" s="11"/>
      <c r="C565" s="33"/>
      <c r="F565" s="11"/>
      <c r="G565" s="11"/>
    </row>
    <row r="566" ht="15.75" customHeight="1">
      <c r="A566" s="19"/>
      <c r="B566" s="11"/>
      <c r="C566" s="33"/>
      <c r="F566" s="11"/>
      <c r="G566" s="11"/>
    </row>
    <row r="567" ht="15.75" customHeight="1">
      <c r="A567" s="19"/>
      <c r="B567" s="11"/>
      <c r="C567" s="33"/>
      <c r="F567" s="11"/>
      <c r="G567" s="11"/>
    </row>
    <row r="568" ht="15.75" customHeight="1">
      <c r="A568" s="19"/>
      <c r="B568" s="11"/>
      <c r="C568" s="33"/>
      <c r="F568" s="11"/>
      <c r="G568" s="11"/>
    </row>
    <row r="569" ht="15.75" customHeight="1">
      <c r="A569" s="19"/>
      <c r="B569" s="11"/>
      <c r="C569" s="33"/>
      <c r="F569" s="11"/>
      <c r="G569" s="11"/>
    </row>
    <row r="570" ht="15.75" customHeight="1">
      <c r="A570" s="19"/>
      <c r="B570" s="11"/>
      <c r="C570" s="33"/>
      <c r="F570" s="11"/>
      <c r="G570" s="11"/>
    </row>
    <row r="571" ht="15.75" customHeight="1">
      <c r="A571" s="19"/>
      <c r="B571" s="11"/>
      <c r="C571" s="33"/>
      <c r="F571" s="11"/>
      <c r="G571" s="11"/>
    </row>
    <row r="572" ht="15.75" customHeight="1">
      <c r="A572" s="19"/>
      <c r="B572" s="11"/>
      <c r="C572" s="33"/>
      <c r="F572" s="11"/>
      <c r="G572" s="11"/>
    </row>
    <row r="573" ht="15.75" customHeight="1">
      <c r="A573" s="19"/>
      <c r="B573" s="11"/>
      <c r="C573" s="33"/>
      <c r="F573" s="11"/>
      <c r="G573" s="11"/>
    </row>
    <row r="574" ht="15.75" customHeight="1">
      <c r="A574" s="19"/>
      <c r="B574" s="11"/>
      <c r="C574" s="33"/>
      <c r="F574" s="11"/>
      <c r="G574" s="11"/>
    </row>
    <row r="575" ht="15.75" customHeight="1">
      <c r="A575" s="19"/>
      <c r="B575" s="11"/>
      <c r="C575" s="33"/>
      <c r="F575" s="11"/>
      <c r="G575" s="11"/>
    </row>
    <row r="576" ht="15.75" customHeight="1">
      <c r="A576" s="19"/>
      <c r="B576" s="11"/>
      <c r="C576" s="33"/>
      <c r="F576" s="11"/>
      <c r="G576" s="11"/>
    </row>
    <row r="577" ht="15.75" customHeight="1">
      <c r="A577" s="19"/>
      <c r="B577" s="11"/>
      <c r="C577" s="33"/>
      <c r="F577" s="11"/>
      <c r="G577" s="11"/>
    </row>
    <row r="578" ht="15.75" customHeight="1">
      <c r="A578" s="19"/>
      <c r="B578" s="11"/>
      <c r="C578" s="33"/>
      <c r="F578" s="11"/>
      <c r="G578" s="11"/>
    </row>
    <row r="579" ht="15.75" customHeight="1">
      <c r="A579" s="19"/>
      <c r="B579" s="11"/>
      <c r="C579" s="33"/>
      <c r="F579" s="11"/>
      <c r="G579" s="11"/>
    </row>
    <row r="580" ht="15.75" customHeight="1">
      <c r="A580" s="19"/>
      <c r="B580" s="11"/>
      <c r="C580" s="33"/>
      <c r="F580" s="11"/>
      <c r="G580" s="11"/>
    </row>
    <row r="581" ht="15.75" customHeight="1">
      <c r="A581" s="19"/>
      <c r="B581" s="11"/>
      <c r="C581" s="33"/>
      <c r="F581" s="11"/>
      <c r="G581" s="11"/>
    </row>
    <row r="582" ht="15.75" customHeight="1">
      <c r="A582" s="19"/>
      <c r="B582" s="11"/>
      <c r="C582" s="33"/>
      <c r="F582" s="11"/>
      <c r="G582" s="11"/>
    </row>
    <row r="583" ht="15.75" customHeight="1">
      <c r="A583" s="19"/>
      <c r="B583" s="11"/>
      <c r="C583" s="33"/>
      <c r="F583" s="11"/>
      <c r="G583" s="11"/>
    </row>
    <row r="584" ht="15.75" customHeight="1">
      <c r="A584" s="19"/>
      <c r="B584" s="11"/>
      <c r="C584" s="33"/>
      <c r="F584" s="11"/>
      <c r="G584" s="11"/>
    </row>
    <row r="585" ht="15.75" customHeight="1">
      <c r="A585" s="19"/>
      <c r="B585" s="11"/>
      <c r="C585" s="33"/>
      <c r="F585" s="11"/>
      <c r="G585" s="11"/>
    </row>
    <row r="586" ht="15.75" customHeight="1">
      <c r="A586" s="19"/>
      <c r="B586" s="11"/>
      <c r="C586" s="33"/>
      <c r="F586" s="11"/>
      <c r="G586" s="11"/>
    </row>
    <row r="587" ht="15.75" customHeight="1">
      <c r="A587" s="19"/>
      <c r="B587" s="11"/>
      <c r="C587" s="33"/>
      <c r="F587" s="11"/>
      <c r="G587" s="11"/>
    </row>
    <row r="588" ht="15.75" customHeight="1">
      <c r="A588" s="19"/>
      <c r="B588" s="11"/>
      <c r="C588" s="33"/>
      <c r="F588" s="11"/>
      <c r="G588" s="11"/>
    </row>
    <row r="589" ht="15.75" customHeight="1">
      <c r="A589" s="19"/>
      <c r="B589" s="11"/>
      <c r="C589" s="33"/>
      <c r="F589" s="11"/>
      <c r="G589" s="11"/>
    </row>
    <row r="590" ht="15.75" customHeight="1">
      <c r="A590" s="19"/>
      <c r="B590" s="11"/>
      <c r="C590" s="33"/>
      <c r="F590" s="11"/>
      <c r="G590" s="11"/>
    </row>
    <row r="591" ht="15.75" customHeight="1">
      <c r="A591" s="19"/>
      <c r="B591" s="11"/>
      <c r="C591" s="33"/>
      <c r="F591" s="11"/>
      <c r="G591" s="11"/>
    </row>
    <row r="592" ht="15.75" customHeight="1">
      <c r="A592" s="19"/>
      <c r="B592" s="11"/>
      <c r="C592" s="33"/>
      <c r="F592" s="11"/>
      <c r="G592" s="11"/>
    </row>
    <row r="593" ht="15.75" customHeight="1">
      <c r="A593" s="19"/>
      <c r="B593" s="11"/>
      <c r="C593" s="33"/>
      <c r="F593" s="11"/>
      <c r="G593" s="11"/>
    </row>
    <row r="594" ht="15.75" customHeight="1">
      <c r="A594" s="19"/>
      <c r="B594" s="11"/>
      <c r="C594" s="33"/>
      <c r="F594" s="11"/>
      <c r="G594" s="11"/>
    </row>
    <row r="595" ht="15.75" customHeight="1">
      <c r="A595" s="19"/>
      <c r="B595" s="11"/>
      <c r="C595" s="33"/>
      <c r="F595" s="11"/>
      <c r="G595" s="11"/>
    </row>
    <row r="596" ht="15.75" customHeight="1">
      <c r="A596" s="19"/>
      <c r="B596" s="11"/>
      <c r="C596" s="33"/>
      <c r="F596" s="11"/>
      <c r="G596" s="11"/>
    </row>
    <row r="597" ht="15.75" customHeight="1">
      <c r="A597" s="19"/>
      <c r="B597" s="11"/>
      <c r="C597" s="33"/>
      <c r="F597" s="11"/>
      <c r="G597" s="11"/>
    </row>
    <row r="598" ht="15.75" customHeight="1">
      <c r="A598" s="19"/>
      <c r="B598" s="11"/>
      <c r="C598" s="33"/>
      <c r="F598" s="11"/>
      <c r="G598" s="11"/>
    </row>
    <row r="599" ht="15.75" customHeight="1">
      <c r="A599" s="19"/>
      <c r="B599" s="11"/>
      <c r="C599" s="33"/>
      <c r="F599" s="11"/>
      <c r="G599" s="11"/>
    </row>
    <row r="600" ht="15.75" customHeight="1">
      <c r="A600" s="19"/>
      <c r="B600" s="11"/>
      <c r="C600" s="33"/>
      <c r="F600" s="11"/>
      <c r="G600" s="11"/>
    </row>
    <row r="601" ht="15.75" customHeight="1">
      <c r="A601" s="19"/>
      <c r="B601" s="11"/>
      <c r="C601" s="33"/>
      <c r="F601" s="11"/>
      <c r="G601" s="11"/>
    </row>
    <row r="602" ht="15.75" customHeight="1">
      <c r="A602" s="19"/>
      <c r="B602" s="11"/>
      <c r="C602" s="33"/>
      <c r="F602" s="11"/>
      <c r="G602" s="11"/>
    </row>
    <row r="603" ht="15.75" customHeight="1">
      <c r="A603" s="19"/>
      <c r="B603" s="11"/>
      <c r="C603" s="33"/>
      <c r="F603" s="11"/>
      <c r="G603" s="11"/>
    </row>
    <row r="604" ht="15.75" customHeight="1">
      <c r="A604" s="19"/>
      <c r="B604" s="11"/>
      <c r="C604" s="33"/>
      <c r="F604" s="11"/>
      <c r="G604" s="11"/>
    </row>
    <row r="605" ht="15.75" customHeight="1">
      <c r="A605" s="19"/>
      <c r="B605" s="11"/>
      <c r="C605" s="33"/>
      <c r="F605" s="11"/>
      <c r="G605" s="11"/>
    </row>
    <row r="606" ht="15.75" customHeight="1">
      <c r="A606" s="19"/>
      <c r="B606" s="11"/>
      <c r="C606" s="33"/>
      <c r="F606" s="11"/>
      <c r="G606" s="11"/>
    </row>
    <row r="607" ht="15.75" customHeight="1">
      <c r="A607" s="19"/>
      <c r="B607" s="11"/>
      <c r="C607" s="33"/>
      <c r="F607" s="11"/>
      <c r="G607" s="11"/>
    </row>
    <row r="608" ht="15.75" customHeight="1">
      <c r="A608" s="19"/>
      <c r="B608" s="11"/>
      <c r="C608" s="33"/>
      <c r="F608" s="11"/>
      <c r="G608" s="11"/>
    </row>
    <row r="609" ht="15.75" customHeight="1">
      <c r="A609" s="19"/>
      <c r="B609" s="11"/>
      <c r="C609" s="33"/>
      <c r="F609" s="11"/>
      <c r="G609" s="11"/>
    </row>
    <row r="610" ht="15.75" customHeight="1">
      <c r="A610" s="19"/>
      <c r="B610" s="11"/>
      <c r="C610" s="33"/>
      <c r="F610" s="11"/>
      <c r="G610" s="11"/>
    </row>
    <row r="611" ht="15.75" customHeight="1">
      <c r="A611" s="19"/>
      <c r="B611" s="11"/>
      <c r="C611" s="33"/>
      <c r="F611" s="11"/>
      <c r="G611" s="11"/>
    </row>
    <row r="612" ht="15.75" customHeight="1">
      <c r="A612" s="19"/>
      <c r="B612" s="11"/>
      <c r="C612" s="33"/>
      <c r="F612" s="11"/>
      <c r="G612" s="11"/>
    </row>
    <row r="613" ht="15.75" customHeight="1">
      <c r="A613" s="19"/>
      <c r="B613" s="11"/>
      <c r="C613" s="33"/>
      <c r="F613" s="11"/>
      <c r="G613" s="11"/>
    </row>
    <row r="614" ht="15.75" customHeight="1">
      <c r="A614" s="19"/>
      <c r="B614" s="11"/>
      <c r="C614" s="33"/>
      <c r="F614" s="11"/>
      <c r="G614" s="11"/>
    </row>
    <row r="615" ht="15.75" customHeight="1">
      <c r="A615" s="19"/>
      <c r="B615" s="11"/>
      <c r="C615" s="33"/>
      <c r="F615" s="11"/>
      <c r="G615" s="11"/>
    </row>
    <row r="616" ht="15.75" customHeight="1">
      <c r="A616" s="19"/>
      <c r="B616" s="11"/>
      <c r="C616" s="33"/>
      <c r="F616" s="11"/>
      <c r="G616" s="11"/>
    </row>
    <row r="617" ht="15.75" customHeight="1">
      <c r="A617" s="19"/>
      <c r="B617" s="11"/>
      <c r="C617" s="33"/>
      <c r="F617" s="11"/>
      <c r="G617" s="11"/>
    </row>
    <row r="618" ht="15.75" customHeight="1">
      <c r="A618" s="19"/>
      <c r="B618" s="11"/>
      <c r="C618" s="33"/>
      <c r="F618" s="11"/>
      <c r="G618" s="11"/>
    </row>
    <row r="619" ht="15.75" customHeight="1">
      <c r="A619" s="19"/>
      <c r="B619" s="11"/>
      <c r="C619" s="33"/>
      <c r="F619" s="11"/>
      <c r="G619" s="11"/>
    </row>
    <row r="620" ht="15.75" customHeight="1">
      <c r="A620" s="19"/>
      <c r="B620" s="11"/>
      <c r="C620" s="33"/>
      <c r="F620" s="11"/>
      <c r="G620" s="11"/>
    </row>
    <row r="621" ht="15.75" customHeight="1">
      <c r="A621" s="19"/>
      <c r="B621" s="11"/>
      <c r="C621" s="33"/>
      <c r="F621" s="11"/>
      <c r="G621" s="11"/>
    </row>
    <row r="622" ht="15.75" customHeight="1">
      <c r="A622" s="19"/>
      <c r="B622" s="11"/>
      <c r="C622" s="33"/>
      <c r="F622" s="11"/>
      <c r="G622" s="11"/>
    </row>
    <row r="623" ht="15.75" customHeight="1">
      <c r="A623" s="19"/>
      <c r="B623" s="11"/>
      <c r="C623" s="33"/>
      <c r="F623" s="11"/>
      <c r="G623" s="11"/>
    </row>
    <row r="624" ht="15.75" customHeight="1">
      <c r="A624" s="19"/>
      <c r="B624" s="11"/>
      <c r="C624" s="33"/>
      <c r="F624" s="11"/>
      <c r="G624" s="11"/>
    </row>
    <row r="625" ht="15.75" customHeight="1">
      <c r="A625" s="19"/>
      <c r="B625" s="11"/>
      <c r="C625" s="33"/>
      <c r="F625" s="11"/>
      <c r="G625" s="11"/>
    </row>
    <row r="626" ht="15.75" customHeight="1">
      <c r="A626" s="19"/>
      <c r="B626" s="11"/>
      <c r="C626" s="33"/>
      <c r="F626" s="11"/>
      <c r="G626" s="11"/>
    </row>
    <row r="627" ht="15.75" customHeight="1">
      <c r="A627" s="19"/>
      <c r="B627" s="11"/>
      <c r="C627" s="33"/>
      <c r="F627" s="11"/>
      <c r="G627" s="11"/>
    </row>
    <row r="628" ht="15.75" customHeight="1">
      <c r="A628" s="19"/>
      <c r="B628" s="11"/>
      <c r="C628" s="33"/>
      <c r="F628" s="11"/>
      <c r="G628" s="11"/>
    </row>
    <row r="629" ht="15.75" customHeight="1">
      <c r="A629" s="19"/>
      <c r="B629" s="11"/>
      <c r="C629" s="33"/>
      <c r="F629" s="11"/>
      <c r="G629" s="11"/>
    </row>
    <row r="630" ht="15.75" customHeight="1">
      <c r="A630" s="19"/>
      <c r="B630" s="11"/>
      <c r="C630" s="33"/>
      <c r="F630" s="11"/>
      <c r="G630" s="11"/>
    </row>
    <row r="631" ht="15.75" customHeight="1">
      <c r="A631" s="19"/>
      <c r="B631" s="11"/>
      <c r="C631" s="33"/>
      <c r="F631" s="11"/>
      <c r="G631" s="11"/>
    </row>
    <row r="632" ht="15.75" customHeight="1">
      <c r="A632" s="19"/>
      <c r="B632" s="11"/>
      <c r="C632" s="33"/>
      <c r="F632" s="11"/>
      <c r="G632" s="11"/>
    </row>
    <row r="633" ht="15.75" customHeight="1">
      <c r="A633" s="19"/>
      <c r="B633" s="11"/>
      <c r="C633" s="33"/>
      <c r="F633" s="11"/>
      <c r="G633" s="11"/>
    </row>
    <row r="634" ht="15.75" customHeight="1">
      <c r="A634" s="19"/>
      <c r="B634" s="11"/>
      <c r="C634" s="33"/>
      <c r="F634" s="11"/>
      <c r="G634" s="11"/>
    </row>
    <row r="635" ht="15.75" customHeight="1">
      <c r="A635" s="19"/>
      <c r="B635" s="11"/>
      <c r="C635" s="33"/>
      <c r="F635" s="11"/>
      <c r="G635" s="11"/>
    </row>
    <row r="636" ht="15.75" customHeight="1">
      <c r="A636" s="19"/>
      <c r="B636" s="11"/>
      <c r="C636" s="33"/>
      <c r="F636" s="11"/>
      <c r="G636" s="11"/>
    </row>
    <row r="637" ht="15.75" customHeight="1">
      <c r="A637" s="19"/>
      <c r="B637" s="11"/>
      <c r="C637" s="33"/>
      <c r="F637" s="11"/>
      <c r="G637" s="11"/>
    </row>
    <row r="638" ht="15.75" customHeight="1">
      <c r="A638" s="19"/>
      <c r="B638" s="11"/>
      <c r="C638" s="33"/>
      <c r="F638" s="11"/>
      <c r="G638" s="11"/>
    </row>
    <row r="639" ht="15.75" customHeight="1">
      <c r="A639" s="19"/>
      <c r="B639" s="11"/>
      <c r="C639" s="33"/>
      <c r="F639" s="11"/>
      <c r="G639" s="11"/>
    </row>
    <row r="640" ht="15.75" customHeight="1">
      <c r="A640" s="19"/>
      <c r="B640" s="11"/>
      <c r="C640" s="33"/>
      <c r="F640" s="11"/>
      <c r="G640" s="11"/>
    </row>
    <row r="641" ht="15.75" customHeight="1">
      <c r="A641" s="19"/>
      <c r="B641" s="11"/>
      <c r="C641" s="33"/>
      <c r="F641" s="11"/>
      <c r="G641" s="11"/>
    </row>
    <row r="642" ht="15.75" customHeight="1">
      <c r="A642" s="19"/>
      <c r="B642" s="11"/>
      <c r="C642" s="33"/>
      <c r="F642" s="11"/>
      <c r="G642" s="11"/>
    </row>
    <row r="643" ht="15.75" customHeight="1">
      <c r="A643" s="19"/>
      <c r="B643" s="11"/>
      <c r="C643" s="33"/>
      <c r="F643" s="11"/>
      <c r="G643" s="11"/>
    </row>
    <row r="644" ht="15.75" customHeight="1">
      <c r="A644" s="19"/>
      <c r="B644" s="11"/>
      <c r="C644" s="33"/>
      <c r="F644" s="11"/>
      <c r="G644" s="11"/>
    </row>
    <row r="645" ht="15.75" customHeight="1">
      <c r="A645" s="19"/>
      <c r="B645" s="11"/>
      <c r="C645" s="33"/>
      <c r="F645" s="11"/>
      <c r="G645" s="11"/>
    </row>
    <row r="646" ht="15.75" customHeight="1">
      <c r="A646" s="19"/>
      <c r="B646" s="11"/>
      <c r="C646" s="33"/>
      <c r="F646" s="11"/>
      <c r="G646" s="11"/>
    </row>
    <row r="647" ht="15.75" customHeight="1">
      <c r="A647" s="19"/>
      <c r="B647" s="11"/>
      <c r="C647" s="33"/>
      <c r="F647" s="11"/>
      <c r="G647" s="11"/>
    </row>
    <row r="648" ht="15.75" customHeight="1">
      <c r="A648" s="19"/>
      <c r="B648" s="11"/>
      <c r="C648" s="33"/>
      <c r="F648" s="11"/>
      <c r="G648" s="11"/>
    </row>
    <row r="649" ht="15.75" customHeight="1">
      <c r="A649" s="19"/>
      <c r="B649" s="11"/>
      <c r="C649" s="33"/>
      <c r="F649" s="11"/>
      <c r="G649" s="11"/>
    </row>
    <row r="650" ht="15.75" customHeight="1">
      <c r="A650" s="19"/>
      <c r="B650" s="11"/>
      <c r="C650" s="33"/>
      <c r="F650" s="11"/>
      <c r="G650" s="11"/>
    </row>
    <row r="651" ht="15.75" customHeight="1">
      <c r="A651" s="19"/>
      <c r="B651" s="11"/>
      <c r="C651" s="33"/>
      <c r="F651" s="11"/>
      <c r="G651" s="11"/>
    </row>
    <row r="652" ht="15.75" customHeight="1">
      <c r="A652" s="19"/>
      <c r="B652" s="11"/>
      <c r="C652" s="33"/>
      <c r="F652" s="11"/>
      <c r="G652" s="11"/>
    </row>
    <row r="653" ht="15.75" customHeight="1">
      <c r="A653" s="19"/>
      <c r="B653" s="11"/>
      <c r="C653" s="33"/>
      <c r="F653" s="11"/>
      <c r="G653" s="11"/>
    </row>
    <row r="654" ht="15.75" customHeight="1">
      <c r="A654" s="19"/>
      <c r="B654" s="11"/>
      <c r="C654" s="33"/>
      <c r="F654" s="11"/>
      <c r="G654" s="11"/>
    </row>
    <row r="655" ht="15.75" customHeight="1">
      <c r="A655" s="19"/>
      <c r="B655" s="11"/>
      <c r="C655" s="33"/>
      <c r="F655" s="11"/>
      <c r="G655" s="11"/>
    </row>
    <row r="656" ht="15.75" customHeight="1">
      <c r="A656" s="19"/>
      <c r="B656" s="11"/>
      <c r="C656" s="33"/>
      <c r="F656" s="11"/>
      <c r="G656" s="11"/>
    </row>
    <row r="657" ht="15.75" customHeight="1">
      <c r="A657" s="19"/>
      <c r="B657" s="11"/>
      <c r="C657" s="33"/>
      <c r="F657" s="11"/>
      <c r="G657" s="11"/>
    </row>
    <row r="658" ht="15.75" customHeight="1">
      <c r="A658" s="19"/>
      <c r="B658" s="11"/>
      <c r="C658" s="33"/>
      <c r="F658" s="11"/>
      <c r="G658" s="11"/>
    </row>
    <row r="659" ht="15.75" customHeight="1">
      <c r="A659" s="19"/>
      <c r="B659" s="11"/>
      <c r="C659" s="33"/>
      <c r="F659" s="11"/>
      <c r="G659" s="11"/>
    </row>
    <row r="660" ht="15.75" customHeight="1">
      <c r="A660" s="19"/>
      <c r="B660" s="11"/>
      <c r="C660" s="33"/>
      <c r="F660" s="11"/>
      <c r="G660" s="11"/>
    </row>
    <row r="661" ht="15.75" customHeight="1">
      <c r="A661" s="19"/>
      <c r="B661" s="11"/>
      <c r="C661" s="33"/>
      <c r="F661" s="11"/>
      <c r="G661" s="11"/>
    </row>
    <row r="662" ht="15.75" customHeight="1">
      <c r="A662" s="19"/>
      <c r="B662" s="11"/>
      <c r="C662" s="33"/>
      <c r="F662" s="11"/>
      <c r="G662" s="11"/>
    </row>
    <row r="663" ht="15.75" customHeight="1">
      <c r="A663" s="19"/>
      <c r="B663" s="11"/>
      <c r="C663" s="33"/>
      <c r="F663" s="11"/>
      <c r="G663" s="11"/>
    </row>
    <row r="664" ht="15.75" customHeight="1">
      <c r="A664" s="19"/>
      <c r="B664" s="11"/>
      <c r="C664" s="33"/>
      <c r="F664" s="11"/>
      <c r="G664" s="11"/>
    </row>
    <row r="665" ht="15.75" customHeight="1">
      <c r="A665" s="19"/>
      <c r="B665" s="11"/>
      <c r="C665" s="33"/>
      <c r="F665" s="11"/>
      <c r="G665" s="11"/>
    </row>
    <row r="666" ht="15.75" customHeight="1">
      <c r="A666" s="19"/>
      <c r="B666" s="11"/>
      <c r="C666" s="33"/>
      <c r="F666" s="11"/>
      <c r="G666" s="11"/>
    </row>
    <row r="667" ht="15.75" customHeight="1">
      <c r="A667" s="19"/>
      <c r="B667" s="11"/>
      <c r="C667" s="33"/>
      <c r="F667" s="11"/>
      <c r="G667" s="11"/>
    </row>
    <row r="668" ht="15.75" customHeight="1">
      <c r="A668" s="19"/>
      <c r="B668" s="11"/>
      <c r="C668" s="33"/>
      <c r="F668" s="11"/>
      <c r="G668" s="11"/>
    </row>
    <row r="669" ht="15.75" customHeight="1">
      <c r="A669" s="19"/>
      <c r="B669" s="11"/>
      <c r="C669" s="33"/>
      <c r="F669" s="11"/>
      <c r="G669" s="11"/>
    </row>
    <row r="670" ht="15.75" customHeight="1">
      <c r="A670" s="19"/>
      <c r="B670" s="11"/>
      <c r="C670" s="33"/>
      <c r="F670" s="11"/>
      <c r="G670" s="11"/>
    </row>
    <row r="671" ht="15.75" customHeight="1">
      <c r="A671" s="19"/>
      <c r="B671" s="11"/>
      <c r="C671" s="33"/>
      <c r="F671" s="11"/>
      <c r="G671" s="11"/>
    </row>
    <row r="672" ht="15.75" customHeight="1">
      <c r="A672" s="19"/>
      <c r="B672" s="11"/>
      <c r="C672" s="33"/>
      <c r="F672" s="11"/>
      <c r="G672" s="11"/>
    </row>
    <row r="673" ht="15.75" customHeight="1">
      <c r="A673" s="19"/>
      <c r="B673" s="11"/>
      <c r="C673" s="33"/>
      <c r="F673" s="11"/>
      <c r="G673" s="11"/>
    </row>
    <row r="674" ht="15.75" customHeight="1">
      <c r="A674" s="19"/>
      <c r="B674" s="11"/>
      <c r="C674" s="33"/>
      <c r="F674" s="11"/>
      <c r="G674" s="11"/>
    </row>
    <row r="675" ht="15.75" customHeight="1">
      <c r="A675" s="19"/>
      <c r="B675" s="11"/>
      <c r="C675" s="33"/>
      <c r="F675" s="11"/>
      <c r="G675" s="11"/>
    </row>
    <row r="676" ht="15.75" customHeight="1">
      <c r="A676" s="19"/>
      <c r="B676" s="11"/>
      <c r="C676" s="33"/>
      <c r="F676" s="11"/>
      <c r="G676" s="11"/>
    </row>
    <row r="677" ht="15.75" customHeight="1">
      <c r="A677" s="19"/>
      <c r="B677" s="11"/>
      <c r="C677" s="33"/>
      <c r="F677" s="11"/>
      <c r="G677" s="11"/>
    </row>
    <row r="678" ht="15.75" customHeight="1">
      <c r="A678" s="19"/>
      <c r="B678" s="11"/>
      <c r="C678" s="33"/>
      <c r="F678" s="11"/>
      <c r="G678" s="11"/>
    </row>
    <row r="679" ht="15.75" customHeight="1">
      <c r="A679" s="19"/>
      <c r="B679" s="11"/>
      <c r="C679" s="33"/>
      <c r="F679" s="11"/>
      <c r="G679" s="11"/>
    </row>
    <row r="680" ht="15.75" customHeight="1">
      <c r="A680" s="19"/>
      <c r="B680" s="11"/>
      <c r="C680" s="33"/>
      <c r="F680" s="11"/>
      <c r="G680" s="11"/>
    </row>
    <row r="681" ht="15.75" customHeight="1">
      <c r="A681" s="19"/>
      <c r="B681" s="11"/>
      <c r="C681" s="33"/>
      <c r="F681" s="11"/>
      <c r="G681" s="11"/>
    </row>
    <row r="682" ht="15.75" customHeight="1">
      <c r="A682" s="19"/>
      <c r="B682" s="11"/>
      <c r="C682" s="33"/>
      <c r="F682" s="11"/>
      <c r="G682" s="11"/>
    </row>
    <row r="683" ht="15.75" customHeight="1">
      <c r="A683" s="19"/>
      <c r="B683" s="11"/>
      <c r="C683" s="33"/>
      <c r="F683" s="11"/>
      <c r="G683" s="11"/>
    </row>
    <row r="684" ht="15.75" customHeight="1">
      <c r="A684" s="19"/>
      <c r="B684" s="11"/>
      <c r="C684" s="33"/>
      <c r="F684" s="11"/>
      <c r="G684" s="11"/>
    </row>
    <row r="685" ht="15.75" customHeight="1">
      <c r="A685" s="19"/>
      <c r="B685" s="11"/>
      <c r="C685" s="33"/>
      <c r="F685" s="11"/>
      <c r="G685" s="11"/>
    </row>
    <row r="686" ht="15.75" customHeight="1">
      <c r="A686" s="19"/>
      <c r="B686" s="11"/>
      <c r="C686" s="33"/>
      <c r="F686" s="11"/>
      <c r="G686" s="11"/>
    </row>
    <row r="687" ht="15.75" customHeight="1">
      <c r="A687" s="19"/>
      <c r="B687" s="11"/>
      <c r="C687" s="33"/>
      <c r="F687" s="11"/>
      <c r="G687" s="11"/>
    </row>
    <row r="688" ht="15.75" customHeight="1">
      <c r="A688" s="19"/>
      <c r="B688" s="11"/>
      <c r="C688" s="33"/>
      <c r="F688" s="11"/>
      <c r="G688" s="11"/>
    </row>
    <row r="689" ht="15.75" customHeight="1">
      <c r="A689" s="19"/>
      <c r="B689" s="11"/>
      <c r="C689" s="33"/>
      <c r="F689" s="11"/>
      <c r="G689" s="11"/>
    </row>
    <row r="690" ht="15.75" customHeight="1">
      <c r="A690" s="19"/>
      <c r="B690" s="11"/>
      <c r="C690" s="33"/>
      <c r="F690" s="11"/>
      <c r="G690" s="11"/>
    </row>
    <row r="691" ht="15.75" customHeight="1">
      <c r="A691" s="19"/>
      <c r="B691" s="11"/>
      <c r="C691" s="33"/>
      <c r="F691" s="11"/>
      <c r="G691" s="11"/>
    </row>
    <row r="692" ht="15.75" customHeight="1">
      <c r="A692" s="19"/>
      <c r="B692" s="11"/>
      <c r="C692" s="33"/>
      <c r="F692" s="11"/>
      <c r="G692" s="11"/>
    </row>
    <row r="693" ht="15.75" customHeight="1">
      <c r="A693" s="19"/>
      <c r="B693" s="11"/>
      <c r="C693" s="33"/>
      <c r="F693" s="11"/>
      <c r="G693" s="11"/>
    </row>
    <row r="694" ht="15.75" customHeight="1">
      <c r="A694" s="19"/>
      <c r="B694" s="11"/>
      <c r="C694" s="33"/>
      <c r="F694" s="11"/>
      <c r="G694" s="11"/>
    </row>
    <row r="695" ht="15.75" customHeight="1">
      <c r="A695" s="19"/>
      <c r="B695" s="11"/>
      <c r="C695" s="33"/>
      <c r="F695" s="11"/>
      <c r="G695" s="11"/>
    </row>
    <row r="696" ht="15.75" customHeight="1">
      <c r="A696" s="19"/>
      <c r="B696" s="11"/>
      <c r="C696" s="33"/>
      <c r="F696" s="11"/>
      <c r="G696" s="11"/>
    </row>
    <row r="697" ht="15.75" customHeight="1">
      <c r="A697" s="19"/>
      <c r="B697" s="11"/>
      <c r="C697" s="33"/>
      <c r="F697" s="11"/>
      <c r="G697" s="11"/>
    </row>
    <row r="698" ht="15.75" customHeight="1">
      <c r="A698" s="19"/>
      <c r="B698" s="11"/>
      <c r="C698" s="33"/>
      <c r="F698" s="11"/>
      <c r="G698" s="11"/>
    </row>
    <row r="699" ht="15.75" customHeight="1">
      <c r="A699" s="19"/>
      <c r="B699" s="11"/>
      <c r="C699" s="33"/>
      <c r="F699" s="11"/>
      <c r="G699" s="11"/>
    </row>
    <row r="700" ht="15.75" customHeight="1">
      <c r="A700" s="19"/>
      <c r="B700" s="11"/>
      <c r="C700" s="33"/>
      <c r="F700" s="11"/>
      <c r="G700" s="11"/>
    </row>
    <row r="701" ht="15.75" customHeight="1">
      <c r="A701" s="19"/>
      <c r="B701" s="11"/>
      <c r="C701" s="33"/>
      <c r="F701" s="11"/>
      <c r="G701" s="11"/>
    </row>
    <row r="702" ht="15.75" customHeight="1">
      <c r="A702" s="19"/>
      <c r="B702" s="11"/>
      <c r="C702" s="33"/>
      <c r="F702" s="11"/>
      <c r="G702" s="11"/>
    </row>
    <row r="703" ht="15.75" customHeight="1">
      <c r="A703" s="19"/>
      <c r="B703" s="11"/>
      <c r="C703" s="33"/>
      <c r="F703" s="11"/>
      <c r="G703" s="11"/>
    </row>
    <row r="704" ht="15.75" customHeight="1">
      <c r="A704" s="19"/>
      <c r="B704" s="11"/>
      <c r="C704" s="33"/>
      <c r="F704" s="11"/>
      <c r="G704" s="11"/>
    </row>
    <row r="705" ht="15.75" customHeight="1">
      <c r="A705" s="19"/>
      <c r="B705" s="11"/>
      <c r="C705" s="33"/>
      <c r="F705" s="11"/>
      <c r="G705" s="11"/>
    </row>
    <row r="706" ht="15.75" customHeight="1">
      <c r="A706" s="19"/>
      <c r="B706" s="11"/>
      <c r="C706" s="33"/>
      <c r="F706" s="11"/>
      <c r="G706" s="11"/>
    </row>
    <row r="707" ht="15.75" customHeight="1">
      <c r="A707" s="19"/>
      <c r="B707" s="11"/>
      <c r="C707" s="33"/>
      <c r="F707" s="11"/>
      <c r="G707" s="11"/>
    </row>
    <row r="708" ht="15.75" customHeight="1">
      <c r="A708" s="19"/>
      <c r="B708" s="11"/>
      <c r="C708" s="33"/>
      <c r="F708" s="11"/>
      <c r="G708" s="11"/>
    </row>
    <row r="709" ht="15.75" customHeight="1">
      <c r="A709" s="19"/>
      <c r="B709" s="11"/>
      <c r="C709" s="33"/>
      <c r="F709" s="11"/>
      <c r="G709" s="11"/>
    </row>
    <row r="710" ht="15.75" customHeight="1">
      <c r="A710" s="19"/>
      <c r="B710" s="11"/>
      <c r="C710" s="33"/>
      <c r="F710" s="11"/>
      <c r="G710" s="11"/>
    </row>
    <row r="711" ht="15.75" customHeight="1">
      <c r="A711" s="19"/>
      <c r="B711" s="11"/>
      <c r="C711" s="33"/>
      <c r="F711" s="11"/>
      <c r="G711" s="11"/>
    </row>
    <row r="712" ht="15.75" customHeight="1">
      <c r="A712" s="19"/>
      <c r="B712" s="11"/>
      <c r="C712" s="33"/>
      <c r="F712" s="11"/>
      <c r="G712" s="11"/>
    </row>
    <row r="713" ht="15.75" customHeight="1">
      <c r="A713" s="19"/>
      <c r="B713" s="11"/>
      <c r="C713" s="33"/>
      <c r="F713" s="11"/>
      <c r="G713" s="11"/>
    </row>
    <row r="714" ht="15.75" customHeight="1">
      <c r="A714" s="19"/>
      <c r="B714" s="11"/>
      <c r="C714" s="33"/>
      <c r="F714" s="11"/>
      <c r="G714" s="11"/>
    </row>
    <row r="715" ht="15.75" customHeight="1">
      <c r="A715" s="19"/>
      <c r="B715" s="11"/>
      <c r="C715" s="33"/>
      <c r="F715" s="11"/>
      <c r="G715" s="11"/>
    </row>
    <row r="716" ht="15.75" customHeight="1">
      <c r="A716" s="19"/>
      <c r="B716" s="11"/>
      <c r="C716" s="33"/>
      <c r="F716" s="11"/>
      <c r="G716" s="11"/>
    </row>
    <row r="717" ht="15.75" customHeight="1">
      <c r="A717" s="19"/>
      <c r="B717" s="11"/>
      <c r="C717" s="33"/>
      <c r="F717" s="11"/>
      <c r="G717" s="11"/>
    </row>
    <row r="718" ht="15.75" customHeight="1">
      <c r="A718" s="19"/>
      <c r="B718" s="11"/>
      <c r="C718" s="33"/>
      <c r="F718" s="11"/>
      <c r="G718" s="11"/>
    </row>
    <row r="719" ht="15.75" customHeight="1">
      <c r="A719" s="19"/>
      <c r="B719" s="11"/>
      <c r="C719" s="33"/>
      <c r="F719" s="11"/>
      <c r="G719" s="11"/>
    </row>
    <row r="720" ht="15.75" customHeight="1">
      <c r="A720" s="19"/>
      <c r="B720" s="11"/>
      <c r="C720" s="33"/>
      <c r="F720" s="11"/>
      <c r="G720" s="11"/>
    </row>
    <row r="721" ht="15.75" customHeight="1">
      <c r="A721" s="19"/>
      <c r="B721" s="11"/>
      <c r="C721" s="33"/>
      <c r="F721" s="11"/>
      <c r="G721" s="11"/>
    </row>
    <row r="722" ht="15.75" customHeight="1">
      <c r="A722" s="19"/>
      <c r="B722" s="11"/>
      <c r="C722" s="33"/>
      <c r="F722" s="11"/>
      <c r="G722" s="11"/>
    </row>
    <row r="723" ht="15.75" customHeight="1">
      <c r="A723" s="19"/>
      <c r="B723" s="11"/>
      <c r="C723" s="33"/>
      <c r="F723" s="11"/>
      <c r="G723" s="11"/>
    </row>
    <row r="724" ht="15.75" customHeight="1">
      <c r="A724" s="19"/>
      <c r="B724" s="11"/>
      <c r="C724" s="33"/>
      <c r="F724" s="11"/>
      <c r="G724" s="11"/>
    </row>
    <row r="725" ht="15.75" customHeight="1">
      <c r="A725" s="19"/>
      <c r="B725" s="11"/>
      <c r="C725" s="33"/>
      <c r="F725" s="11"/>
      <c r="G725" s="11"/>
    </row>
    <row r="726" ht="15.75" customHeight="1">
      <c r="A726" s="19"/>
      <c r="B726" s="11"/>
      <c r="C726" s="33"/>
      <c r="F726" s="11"/>
      <c r="G726" s="11"/>
    </row>
    <row r="727" ht="15.75" customHeight="1">
      <c r="A727" s="19"/>
      <c r="B727" s="11"/>
      <c r="C727" s="33"/>
      <c r="F727" s="11"/>
      <c r="G727" s="11"/>
    </row>
    <row r="728" ht="15.75" customHeight="1">
      <c r="A728" s="19"/>
      <c r="B728" s="11"/>
      <c r="C728" s="33"/>
      <c r="F728" s="11"/>
      <c r="G728" s="11"/>
    </row>
    <row r="729" ht="15.75" customHeight="1">
      <c r="A729" s="19"/>
      <c r="B729" s="11"/>
      <c r="C729" s="33"/>
      <c r="F729" s="11"/>
      <c r="G729" s="11"/>
    </row>
    <row r="730" ht="15.75" customHeight="1">
      <c r="A730" s="19"/>
      <c r="B730" s="11"/>
      <c r="C730" s="33"/>
      <c r="F730" s="11"/>
      <c r="G730" s="11"/>
    </row>
    <row r="731" ht="15.75" customHeight="1">
      <c r="A731" s="19"/>
      <c r="B731" s="11"/>
      <c r="C731" s="33"/>
      <c r="F731" s="11"/>
      <c r="G731" s="11"/>
    </row>
    <row r="732" ht="15.75" customHeight="1">
      <c r="A732" s="19"/>
      <c r="B732" s="11"/>
      <c r="C732" s="33"/>
      <c r="F732" s="11"/>
      <c r="G732" s="11"/>
    </row>
    <row r="733" ht="15.75" customHeight="1">
      <c r="A733" s="19"/>
      <c r="B733" s="11"/>
      <c r="C733" s="33"/>
      <c r="F733" s="11"/>
      <c r="G733" s="11"/>
    </row>
    <row r="734" ht="15.75" customHeight="1">
      <c r="A734" s="19"/>
      <c r="B734" s="11"/>
      <c r="C734" s="33"/>
      <c r="F734" s="11"/>
      <c r="G734" s="11"/>
    </row>
    <row r="735" ht="15.75" customHeight="1">
      <c r="A735" s="19"/>
      <c r="B735" s="11"/>
      <c r="C735" s="33"/>
      <c r="F735" s="11"/>
      <c r="G735" s="11"/>
    </row>
    <row r="736" ht="15.75" customHeight="1">
      <c r="A736" s="19"/>
      <c r="B736" s="11"/>
      <c r="C736" s="33"/>
      <c r="F736" s="11"/>
      <c r="G736" s="11"/>
    </row>
    <row r="737" ht="15.75" customHeight="1">
      <c r="A737" s="19"/>
      <c r="B737" s="11"/>
      <c r="C737" s="33"/>
      <c r="F737" s="11"/>
      <c r="G737" s="11"/>
    </row>
    <row r="738" ht="15.75" customHeight="1">
      <c r="A738" s="19"/>
      <c r="B738" s="11"/>
      <c r="C738" s="33"/>
      <c r="F738" s="11"/>
      <c r="G738" s="11"/>
    </row>
    <row r="739" ht="15.75" customHeight="1">
      <c r="A739" s="19"/>
      <c r="B739" s="11"/>
      <c r="C739" s="33"/>
      <c r="F739" s="11"/>
      <c r="G739" s="11"/>
    </row>
    <row r="740" ht="15.75" customHeight="1">
      <c r="A740" s="19"/>
      <c r="B740" s="11"/>
      <c r="C740" s="33"/>
      <c r="F740" s="11"/>
      <c r="G740" s="11"/>
    </row>
    <row r="741" ht="15.75" customHeight="1">
      <c r="A741" s="19"/>
      <c r="B741" s="11"/>
      <c r="C741" s="33"/>
      <c r="F741" s="11"/>
      <c r="G741" s="11"/>
    </row>
    <row r="742" ht="15.75" customHeight="1">
      <c r="A742" s="19"/>
      <c r="B742" s="11"/>
      <c r="C742" s="33"/>
      <c r="F742" s="11"/>
      <c r="G742" s="11"/>
    </row>
    <row r="743" ht="15.75" customHeight="1">
      <c r="A743" s="19"/>
      <c r="B743" s="11"/>
      <c r="C743" s="33"/>
      <c r="F743" s="11"/>
      <c r="G743" s="11"/>
    </row>
    <row r="744" ht="15.75" customHeight="1">
      <c r="A744" s="19"/>
      <c r="B744" s="11"/>
      <c r="C744" s="33"/>
      <c r="F744" s="11"/>
      <c r="G744" s="11"/>
    </row>
    <row r="745" ht="15.75" customHeight="1">
      <c r="A745" s="19"/>
      <c r="B745" s="11"/>
      <c r="C745" s="33"/>
      <c r="F745" s="11"/>
      <c r="G745" s="11"/>
    </row>
    <row r="746" ht="15.75" customHeight="1">
      <c r="A746" s="19"/>
      <c r="B746" s="11"/>
      <c r="C746" s="33"/>
      <c r="F746" s="11"/>
      <c r="G746" s="11"/>
    </row>
    <row r="747" ht="15.75" customHeight="1">
      <c r="A747" s="19"/>
      <c r="B747" s="11"/>
      <c r="C747" s="33"/>
      <c r="F747" s="11"/>
      <c r="G747" s="11"/>
    </row>
    <row r="748" ht="15.75" customHeight="1">
      <c r="A748" s="19"/>
      <c r="B748" s="11"/>
      <c r="C748" s="33"/>
      <c r="F748" s="11"/>
      <c r="G748" s="11"/>
    </row>
    <row r="749" ht="15.75" customHeight="1">
      <c r="A749" s="19"/>
      <c r="B749" s="11"/>
      <c r="C749" s="33"/>
      <c r="F749" s="11"/>
      <c r="G749" s="11"/>
    </row>
    <row r="750" ht="15.75" customHeight="1">
      <c r="A750" s="19"/>
      <c r="B750" s="11"/>
      <c r="C750" s="33"/>
      <c r="F750" s="11"/>
      <c r="G750" s="11"/>
    </row>
    <row r="751" ht="15.75" customHeight="1">
      <c r="A751" s="19"/>
      <c r="B751" s="11"/>
      <c r="C751" s="33"/>
      <c r="F751" s="11"/>
      <c r="G751" s="11"/>
    </row>
    <row r="752" ht="15.75" customHeight="1">
      <c r="A752" s="19"/>
      <c r="B752" s="11"/>
      <c r="C752" s="33"/>
      <c r="F752" s="11"/>
      <c r="G752" s="11"/>
    </row>
    <row r="753" ht="15.75" customHeight="1">
      <c r="A753" s="19"/>
      <c r="B753" s="11"/>
      <c r="C753" s="33"/>
      <c r="F753" s="11"/>
      <c r="G753" s="11"/>
    </row>
    <row r="754" ht="15.75" customHeight="1">
      <c r="A754" s="19"/>
      <c r="B754" s="11"/>
      <c r="C754" s="33"/>
      <c r="F754" s="11"/>
      <c r="G754" s="11"/>
    </row>
    <row r="755" ht="15.75" customHeight="1">
      <c r="A755" s="19"/>
      <c r="B755" s="11"/>
      <c r="C755" s="33"/>
      <c r="F755" s="11"/>
      <c r="G755" s="11"/>
    </row>
    <row r="756" ht="15.75" customHeight="1">
      <c r="A756" s="19"/>
      <c r="B756" s="11"/>
      <c r="C756" s="33"/>
      <c r="F756" s="11"/>
      <c r="G756" s="11"/>
    </row>
    <row r="757" ht="15.75" customHeight="1">
      <c r="A757" s="19"/>
      <c r="B757" s="11"/>
      <c r="C757" s="33"/>
      <c r="F757" s="11"/>
      <c r="G757" s="11"/>
    </row>
    <row r="758" ht="15.75" customHeight="1">
      <c r="A758" s="19"/>
      <c r="B758" s="11"/>
      <c r="C758" s="33"/>
      <c r="F758" s="11"/>
      <c r="G758" s="11"/>
    </row>
    <row r="759" ht="15.75" customHeight="1">
      <c r="A759" s="19"/>
      <c r="B759" s="11"/>
      <c r="C759" s="33"/>
      <c r="F759" s="11"/>
      <c r="G759" s="11"/>
    </row>
    <row r="760" ht="15.75" customHeight="1">
      <c r="A760" s="19"/>
      <c r="B760" s="11"/>
      <c r="C760" s="33"/>
      <c r="F760" s="11"/>
      <c r="G760" s="11"/>
    </row>
    <row r="761" ht="15.75" customHeight="1">
      <c r="A761" s="19"/>
      <c r="B761" s="11"/>
      <c r="C761" s="33"/>
      <c r="F761" s="11"/>
      <c r="G761" s="11"/>
    </row>
    <row r="762" ht="15.75" customHeight="1">
      <c r="A762" s="19"/>
      <c r="B762" s="11"/>
      <c r="C762" s="33"/>
      <c r="F762" s="11"/>
      <c r="G762" s="11"/>
    </row>
    <row r="763" ht="15.75" customHeight="1">
      <c r="A763" s="19"/>
      <c r="B763" s="11"/>
      <c r="C763" s="33"/>
      <c r="F763" s="11"/>
      <c r="G763" s="11"/>
    </row>
    <row r="764" ht="15.75" customHeight="1">
      <c r="A764" s="19"/>
      <c r="B764" s="11"/>
      <c r="C764" s="33"/>
      <c r="F764" s="11"/>
      <c r="G764" s="11"/>
    </row>
    <row r="765" ht="15.75" customHeight="1">
      <c r="A765" s="19"/>
      <c r="B765" s="11"/>
      <c r="C765" s="33"/>
      <c r="F765" s="11"/>
      <c r="G765" s="11"/>
    </row>
    <row r="766" ht="15.75" customHeight="1">
      <c r="A766" s="19"/>
      <c r="B766" s="11"/>
      <c r="C766" s="33"/>
      <c r="F766" s="11"/>
      <c r="G766" s="11"/>
    </row>
    <row r="767" ht="15.75" customHeight="1">
      <c r="A767" s="19"/>
      <c r="B767" s="11"/>
      <c r="C767" s="33"/>
      <c r="F767" s="11"/>
      <c r="G767" s="11"/>
    </row>
    <row r="768" ht="15.75" customHeight="1">
      <c r="A768" s="19"/>
      <c r="B768" s="11"/>
      <c r="C768" s="33"/>
      <c r="F768" s="11"/>
      <c r="G768" s="11"/>
    </row>
    <row r="769" ht="15.75" customHeight="1">
      <c r="A769" s="19"/>
      <c r="B769" s="11"/>
      <c r="C769" s="33"/>
      <c r="F769" s="11"/>
      <c r="G769" s="11"/>
    </row>
    <row r="770" ht="15.75" customHeight="1">
      <c r="A770" s="19"/>
      <c r="B770" s="11"/>
      <c r="C770" s="33"/>
      <c r="F770" s="11"/>
      <c r="G770" s="11"/>
    </row>
    <row r="771" ht="15.75" customHeight="1">
      <c r="A771" s="19"/>
      <c r="B771" s="11"/>
      <c r="C771" s="33"/>
      <c r="F771" s="11"/>
      <c r="G771" s="11"/>
    </row>
    <row r="772" ht="15.75" customHeight="1">
      <c r="A772" s="19"/>
      <c r="B772" s="11"/>
      <c r="C772" s="33"/>
      <c r="F772" s="11"/>
      <c r="G772" s="11"/>
    </row>
    <row r="773" ht="15.75" customHeight="1">
      <c r="A773" s="19"/>
      <c r="B773" s="11"/>
      <c r="C773" s="33"/>
      <c r="F773" s="11"/>
      <c r="G773" s="11"/>
    </row>
    <row r="774" ht="15.75" customHeight="1">
      <c r="A774" s="19"/>
      <c r="B774" s="11"/>
      <c r="C774" s="33"/>
      <c r="F774" s="11"/>
      <c r="G774" s="11"/>
    </row>
    <row r="775" ht="15.75" customHeight="1">
      <c r="A775" s="19"/>
      <c r="B775" s="11"/>
      <c r="C775" s="33"/>
      <c r="F775" s="11"/>
      <c r="G775" s="11"/>
    </row>
    <row r="776" ht="15.75" customHeight="1">
      <c r="A776" s="19"/>
      <c r="B776" s="11"/>
      <c r="C776" s="33"/>
      <c r="F776" s="11"/>
      <c r="G776" s="11"/>
    </row>
    <row r="777" ht="15.75" customHeight="1">
      <c r="A777" s="19"/>
      <c r="B777" s="11"/>
      <c r="C777" s="33"/>
      <c r="F777" s="11"/>
      <c r="G777" s="11"/>
    </row>
    <row r="778" ht="15.75" customHeight="1">
      <c r="A778" s="19"/>
      <c r="B778" s="11"/>
      <c r="C778" s="33"/>
      <c r="F778" s="11"/>
      <c r="G778" s="11"/>
    </row>
    <row r="779" ht="15.75" customHeight="1">
      <c r="A779" s="19"/>
      <c r="B779" s="11"/>
      <c r="C779" s="33"/>
      <c r="F779" s="11"/>
      <c r="G779" s="11"/>
    </row>
    <row r="780" ht="15.75" customHeight="1">
      <c r="A780" s="19"/>
      <c r="B780" s="11"/>
      <c r="C780" s="33"/>
      <c r="F780" s="11"/>
      <c r="G780" s="11"/>
    </row>
    <row r="781" ht="15.75" customHeight="1">
      <c r="A781" s="19"/>
      <c r="B781" s="11"/>
      <c r="C781" s="33"/>
      <c r="F781" s="11"/>
      <c r="G781" s="11"/>
    </row>
    <row r="782" ht="15.75" customHeight="1">
      <c r="A782" s="19"/>
      <c r="B782" s="11"/>
      <c r="C782" s="33"/>
      <c r="F782" s="11"/>
      <c r="G782" s="11"/>
    </row>
    <row r="783" ht="15.75" customHeight="1">
      <c r="A783" s="19"/>
      <c r="B783" s="11"/>
      <c r="C783" s="33"/>
      <c r="F783" s="11"/>
      <c r="G783" s="11"/>
    </row>
    <row r="784" ht="15.75" customHeight="1">
      <c r="A784" s="19"/>
      <c r="B784" s="11"/>
      <c r="C784" s="33"/>
      <c r="F784" s="11"/>
      <c r="G784" s="11"/>
    </row>
    <row r="785" ht="15.75" customHeight="1">
      <c r="A785" s="19"/>
      <c r="B785" s="11"/>
      <c r="C785" s="33"/>
      <c r="F785" s="11"/>
      <c r="G785" s="11"/>
    </row>
    <row r="786" ht="15.75" customHeight="1">
      <c r="A786" s="19"/>
      <c r="B786" s="11"/>
      <c r="C786" s="33"/>
      <c r="F786" s="11"/>
      <c r="G786" s="11"/>
    </row>
    <row r="787" ht="15.75" customHeight="1">
      <c r="A787" s="19"/>
      <c r="B787" s="11"/>
      <c r="C787" s="33"/>
      <c r="F787" s="11"/>
      <c r="G787" s="11"/>
    </row>
    <row r="788" ht="15.75" customHeight="1">
      <c r="A788" s="19"/>
      <c r="B788" s="11"/>
      <c r="C788" s="33"/>
      <c r="F788" s="11"/>
      <c r="G788" s="11"/>
    </row>
    <row r="789" ht="15.75" customHeight="1">
      <c r="A789" s="19"/>
      <c r="B789" s="11"/>
      <c r="C789" s="33"/>
      <c r="F789" s="11"/>
      <c r="G789" s="11"/>
    </row>
    <row r="790" ht="15.75" customHeight="1">
      <c r="A790" s="19"/>
      <c r="B790" s="11"/>
      <c r="C790" s="33"/>
      <c r="F790" s="11"/>
      <c r="G790" s="11"/>
    </row>
    <row r="791" ht="15.75" customHeight="1">
      <c r="A791" s="19"/>
      <c r="B791" s="11"/>
      <c r="C791" s="33"/>
      <c r="F791" s="11"/>
      <c r="G791" s="11"/>
    </row>
    <row r="792" ht="15.75" customHeight="1">
      <c r="A792" s="19"/>
      <c r="B792" s="11"/>
      <c r="C792" s="33"/>
      <c r="F792" s="11"/>
      <c r="G792" s="11"/>
    </row>
    <row r="793" ht="15.75" customHeight="1">
      <c r="A793" s="19"/>
      <c r="B793" s="11"/>
      <c r="C793" s="33"/>
      <c r="F793" s="11"/>
      <c r="G793" s="11"/>
    </row>
    <row r="794" ht="15.75" customHeight="1">
      <c r="A794" s="19"/>
      <c r="B794" s="11"/>
      <c r="C794" s="33"/>
      <c r="F794" s="11"/>
      <c r="G794" s="11"/>
    </row>
    <row r="795" ht="15.75" customHeight="1">
      <c r="A795" s="19"/>
      <c r="B795" s="11"/>
      <c r="C795" s="33"/>
      <c r="F795" s="11"/>
      <c r="G795" s="11"/>
    </row>
    <row r="796" ht="15.75" customHeight="1">
      <c r="A796" s="19"/>
      <c r="B796" s="11"/>
      <c r="C796" s="33"/>
      <c r="F796" s="11"/>
      <c r="G796" s="11"/>
    </row>
    <row r="797" ht="15.75" customHeight="1">
      <c r="A797" s="19"/>
      <c r="B797" s="11"/>
      <c r="C797" s="33"/>
      <c r="F797" s="11"/>
      <c r="G797" s="11"/>
    </row>
    <row r="798" ht="15.75" customHeight="1">
      <c r="A798" s="19"/>
      <c r="B798" s="11"/>
      <c r="C798" s="33"/>
      <c r="F798" s="11"/>
      <c r="G798" s="11"/>
    </row>
    <row r="799" ht="15.75" customHeight="1">
      <c r="A799" s="19"/>
      <c r="B799" s="11"/>
      <c r="C799" s="33"/>
      <c r="F799" s="11"/>
      <c r="G799" s="11"/>
    </row>
    <row r="800" ht="15.75" customHeight="1">
      <c r="A800" s="19"/>
      <c r="B800" s="11"/>
      <c r="C800" s="33"/>
      <c r="F800" s="11"/>
      <c r="G800" s="11"/>
    </row>
    <row r="801" ht="15.75" customHeight="1">
      <c r="A801" s="19"/>
      <c r="B801" s="11"/>
      <c r="C801" s="33"/>
      <c r="F801" s="11"/>
      <c r="G801" s="11"/>
    </row>
    <row r="802" ht="15.75" customHeight="1">
      <c r="A802" s="19"/>
      <c r="B802" s="11"/>
      <c r="C802" s="33"/>
      <c r="F802" s="11"/>
      <c r="G802" s="11"/>
    </row>
    <row r="803" ht="15.75" customHeight="1">
      <c r="A803" s="19"/>
      <c r="B803" s="11"/>
      <c r="C803" s="33"/>
      <c r="F803" s="11"/>
      <c r="G803" s="11"/>
    </row>
    <row r="804" ht="15.75" customHeight="1">
      <c r="A804" s="19"/>
      <c r="B804" s="11"/>
      <c r="C804" s="33"/>
      <c r="F804" s="11"/>
      <c r="G804" s="11"/>
    </row>
    <row r="805" ht="15.75" customHeight="1">
      <c r="A805" s="19"/>
      <c r="B805" s="11"/>
      <c r="C805" s="33"/>
      <c r="F805" s="11"/>
      <c r="G805" s="11"/>
    </row>
    <row r="806" ht="15.75" customHeight="1">
      <c r="A806" s="19"/>
      <c r="B806" s="11"/>
      <c r="C806" s="33"/>
      <c r="F806" s="11"/>
      <c r="G806" s="11"/>
    </row>
    <row r="807" ht="15.75" customHeight="1">
      <c r="A807" s="19"/>
      <c r="B807" s="11"/>
      <c r="C807" s="33"/>
      <c r="F807" s="11"/>
      <c r="G807" s="11"/>
    </row>
    <row r="808" ht="15.75" customHeight="1">
      <c r="A808" s="19"/>
      <c r="B808" s="11"/>
      <c r="C808" s="33"/>
      <c r="F808" s="11"/>
      <c r="G808" s="11"/>
    </row>
    <row r="809" ht="15.75" customHeight="1">
      <c r="A809" s="19"/>
      <c r="B809" s="11"/>
      <c r="C809" s="33"/>
      <c r="F809" s="11"/>
      <c r="G809" s="11"/>
    </row>
    <row r="810" ht="15.75" customHeight="1">
      <c r="A810" s="19"/>
      <c r="B810" s="11"/>
      <c r="C810" s="33"/>
      <c r="F810" s="11"/>
      <c r="G810" s="11"/>
    </row>
    <row r="811" ht="15.75" customHeight="1">
      <c r="A811" s="19"/>
      <c r="B811" s="11"/>
      <c r="C811" s="33"/>
      <c r="F811" s="11"/>
      <c r="G811" s="11"/>
    </row>
    <row r="812" ht="15.75" customHeight="1">
      <c r="A812" s="19"/>
      <c r="B812" s="11"/>
      <c r="C812" s="33"/>
      <c r="F812" s="11"/>
      <c r="G812" s="11"/>
    </row>
    <row r="813" ht="15.75" customHeight="1">
      <c r="A813" s="19"/>
      <c r="B813" s="11"/>
      <c r="C813" s="33"/>
      <c r="F813" s="11"/>
      <c r="G813" s="11"/>
    </row>
    <row r="814" ht="15.75" customHeight="1">
      <c r="A814" s="19"/>
      <c r="B814" s="11"/>
      <c r="C814" s="33"/>
      <c r="F814" s="11"/>
      <c r="G814" s="11"/>
    </row>
    <row r="815" ht="15.75" customHeight="1">
      <c r="A815" s="19"/>
      <c r="B815" s="11"/>
      <c r="C815" s="33"/>
      <c r="F815" s="11"/>
      <c r="G815" s="11"/>
    </row>
    <row r="816" ht="15.75" customHeight="1">
      <c r="A816" s="19"/>
      <c r="B816" s="11"/>
      <c r="C816" s="33"/>
      <c r="F816" s="11"/>
      <c r="G816" s="11"/>
    </row>
    <row r="817" ht="15.75" customHeight="1">
      <c r="A817" s="19"/>
      <c r="B817" s="11"/>
      <c r="C817" s="33"/>
      <c r="F817" s="11"/>
      <c r="G817" s="11"/>
    </row>
    <row r="818" ht="15.75" customHeight="1">
      <c r="A818" s="19"/>
      <c r="B818" s="11"/>
      <c r="C818" s="33"/>
      <c r="F818" s="11"/>
      <c r="G818" s="11"/>
    </row>
    <row r="819" ht="15.75" customHeight="1">
      <c r="A819" s="19"/>
      <c r="B819" s="11"/>
      <c r="C819" s="33"/>
      <c r="F819" s="11"/>
      <c r="G819" s="11"/>
    </row>
    <row r="820" ht="15.75" customHeight="1">
      <c r="A820" s="19"/>
      <c r="B820" s="11"/>
      <c r="C820" s="33"/>
      <c r="F820" s="11"/>
      <c r="G820" s="11"/>
    </row>
    <row r="821" ht="15.75" customHeight="1">
      <c r="A821" s="19"/>
      <c r="B821" s="11"/>
      <c r="C821" s="33"/>
      <c r="F821" s="11"/>
      <c r="G821" s="11"/>
    </row>
    <row r="822" ht="15.75" customHeight="1">
      <c r="A822" s="19"/>
      <c r="B822" s="11"/>
      <c r="C822" s="33"/>
      <c r="F822" s="11"/>
      <c r="G822" s="11"/>
    </row>
    <row r="823" ht="15.75" customHeight="1">
      <c r="A823" s="19"/>
      <c r="B823" s="11"/>
      <c r="C823" s="33"/>
      <c r="F823" s="11"/>
      <c r="G823" s="11"/>
    </row>
    <row r="824" ht="15.75" customHeight="1">
      <c r="A824" s="19"/>
      <c r="B824" s="11"/>
      <c r="C824" s="33"/>
      <c r="F824" s="11"/>
      <c r="G824" s="11"/>
    </row>
    <row r="825" ht="15.75" customHeight="1">
      <c r="A825" s="19"/>
      <c r="B825" s="11"/>
      <c r="C825" s="33"/>
      <c r="F825" s="11"/>
      <c r="G825" s="11"/>
    </row>
    <row r="826" ht="15.75" customHeight="1">
      <c r="A826" s="19"/>
      <c r="B826" s="11"/>
      <c r="C826" s="33"/>
      <c r="F826" s="11"/>
      <c r="G826" s="11"/>
    </row>
    <row r="827" ht="15.75" customHeight="1">
      <c r="A827" s="19"/>
      <c r="B827" s="11"/>
      <c r="C827" s="33"/>
      <c r="F827" s="11"/>
      <c r="G827" s="11"/>
    </row>
    <row r="828" ht="15.75" customHeight="1">
      <c r="A828" s="19"/>
      <c r="B828" s="11"/>
      <c r="C828" s="33"/>
      <c r="F828" s="11"/>
      <c r="G828" s="11"/>
    </row>
    <row r="829" ht="15.75" customHeight="1">
      <c r="A829" s="19"/>
      <c r="B829" s="11"/>
      <c r="C829" s="33"/>
      <c r="F829" s="11"/>
      <c r="G829" s="11"/>
    </row>
    <row r="830" ht="15.75" customHeight="1">
      <c r="A830" s="19"/>
      <c r="B830" s="11"/>
      <c r="C830" s="33"/>
      <c r="F830" s="11"/>
      <c r="G830" s="11"/>
    </row>
    <row r="831" ht="15.75" customHeight="1">
      <c r="A831" s="19"/>
      <c r="B831" s="11"/>
      <c r="C831" s="33"/>
      <c r="F831" s="11"/>
      <c r="G831" s="11"/>
    </row>
    <row r="832" ht="15.75" customHeight="1">
      <c r="A832" s="19"/>
      <c r="B832" s="11"/>
      <c r="C832" s="33"/>
      <c r="F832" s="11"/>
      <c r="G832" s="11"/>
    </row>
    <row r="833" ht="15.75" customHeight="1">
      <c r="A833" s="19"/>
      <c r="B833" s="11"/>
      <c r="C833" s="33"/>
      <c r="F833" s="11"/>
      <c r="G833" s="11"/>
    </row>
    <row r="834" ht="15.75" customHeight="1">
      <c r="A834" s="19"/>
      <c r="B834" s="11"/>
      <c r="C834" s="33"/>
      <c r="F834" s="11"/>
      <c r="G834" s="11"/>
    </row>
    <row r="835" ht="15.75" customHeight="1">
      <c r="A835" s="19"/>
      <c r="B835" s="11"/>
      <c r="C835" s="33"/>
      <c r="F835" s="11"/>
      <c r="G835" s="11"/>
    </row>
    <row r="836" ht="15.75" customHeight="1">
      <c r="A836" s="19"/>
      <c r="B836" s="11"/>
      <c r="C836" s="33"/>
      <c r="F836" s="11"/>
      <c r="G836" s="11"/>
    </row>
    <row r="837" ht="15.75" customHeight="1">
      <c r="A837" s="19"/>
      <c r="B837" s="11"/>
      <c r="C837" s="33"/>
      <c r="F837" s="11"/>
      <c r="G837" s="11"/>
    </row>
    <row r="838" ht="15.75" customHeight="1">
      <c r="A838" s="19"/>
      <c r="B838" s="11"/>
      <c r="C838" s="33"/>
      <c r="F838" s="11"/>
      <c r="G838" s="11"/>
    </row>
    <row r="839" ht="15.75" customHeight="1">
      <c r="A839" s="19"/>
      <c r="B839" s="11"/>
      <c r="C839" s="33"/>
      <c r="F839" s="11"/>
      <c r="G839" s="11"/>
    </row>
    <row r="840" ht="15.75" customHeight="1">
      <c r="A840" s="19"/>
      <c r="B840" s="11"/>
      <c r="C840" s="33"/>
      <c r="F840" s="11"/>
      <c r="G840" s="11"/>
    </row>
    <row r="841" ht="15.75" customHeight="1">
      <c r="A841" s="19"/>
      <c r="B841" s="11"/>
      <c r="C841" s="33"/>
      <c r="F841" s="11"/>
      <c r="G841" s="11"/>
    </row>
    <row r="842" ht="15.75" customHeight="1">
      <c r="A842" s="19"/>
      <c r="B842" s="11"/>
      <c r="C842" s="33"/>
      <c r="F842" s="11"/>
      <c r="G842" s="11"/>
    </row>
    <row r="843" ht="15.75" customHeight="1">
      <c r="A843" s="19"/>
      <c r="B843" s="11"/>
      <c r="C843" s="33"/>
      <c r="F843" s="11"/>
      <c r="G843" s="11"/>
    </row>
    <row r="844" ht="15.75" customHeight="1">
      <c r="A844" s="19"/>
      <c r="B844" s="11"/>
      <c r="C844" s="33"/>
      <c r="F844" s="11"/>
      <c r="G844" s="11"/>
    </row>
    <row r="845" ht="15.75" customHeight="1">
      <c r="A845" s="19"/>
      <c r="B845" s="11"/>
      <c r="C845" s="33"/>
      <c r="F845" s="11"/>
      <c r="G845" s="11"/>
    </row>
    <row r="846" ht="15.75" customHeight="1">
      <c r="A846" s="19"/>
      <c r="B846" s="11"/>
      <c r="C846" s="33"/>
      <c r="F846" s="11"/>
      <c r="G846" s="11"/>
    </row>
    <row r="847" ht="15.75" customHeight="1">
      <c r="A847" s="19"/>
      <c r="B847" s="11"/>
      <c r="C847" s="33"/>
      <c r="F847" s="11"/>
      <c r="G847" s="11"/>
    </row>
    <row r="848" ht="15.75" customHeight="1">
      <c r="A848" s="19"/>
      <c r="B848" s="11"/>
      <c r="C848" s="33"/>
      <c r="F848" s="11"/>
      <c r="G848" s="11"/>
    </row>
    <row r="849" ht="15.75" customHeight="1">
      <c r="A849" s="19"/>
      <c r="B849" s="11"/>
      <c r="C849" s="33"/>
      <c r="F849" s="11"/>
      <c r="G849" s="11"/>
    </row>
    <row r="850" ht="15.75" customHeight="1">
      <c r="A850" s="19"/>
      <c r="B850" s="11"/>
      <c r="C850" s="33"/>
      <c r="F850" s="11"/>
      <c r="G850" s="11"/>
    </row>
    <row r="851" ht="15.75" customHeight="1">
      <c r="A851" s="19"/>
      <c r="B851" s="11"/>
      <c r="C851" s="33"/>
      <c r="F851" s="11"/>
      <c r="G851" s="11"/>
    </row>
    <row r="852" ht="15.75" customHeight="1">
      <c r="A852" s="19"/>
      <c r="B852" s="11"/>
      <c r="C852" s="33"/>
      <c r="F852" s="11"/>
      <c r="G852" s="11"/>
    </row>
    <row r="853" ht="15.75" customHeight="1">
      <c r="A853" s="19"/>
      <c r="B853" s="11"/>
      <c r="C853" s="33"/>
      <c r="F853" s="11"/>
      <c r="G853" s="11"/>
    </row>
    <row r="854" ht="15.75" customHeight="1">
      <c r="A854" s="19"/>
      <c r="B854" s="11"/>
      <c r="C854" s="33"/>
      <c r="F854" s="11"/>
      <c r="G854" s="11"/>
    </row>
    <row r="855" ht="15.75" customHeight="1">
      <c r="A855" s="19"/>
      <c r="B855" s="11"/>
      <c r="C855" s="33"/>
      <c r="F855" s="11"/>
      <c r="G855" s="11"/>
    </row>
    <row r="856" ht="15.75" customHeight="1">
      <c r="A856" s="19"/>
      <c r="B856" s="11"/>
      <c r="C856" s="33"/>
      <c r="F856" s="11"/>
      <c r="G856" s="11"/>
    </row>
    <row r="857" ht="15.75" customHeight="1">
      <c r="A857" s="19"/>
      <c r="B857" s="11"/>
      <c r="C857" s="33"/>
      <c r="F857" s="11"/>
      <c r="G857" s="11"/>
    </row>
    <row r="858" ht="15.75" customHeight="1">
      <c r="A858" s="19"/>
      <c r="B858" s="11"/>
      <c r="C858" s="33"/>
      <c r="F858" s="11"/>
      <c r="G858" s="11"/>
    </row>
    <row r="859" ht="15.75" customHeight="1">
      <c r="A859" s="19"/>
      <c r="B859" s="11"/>
      <c r="C859" s="33"/>
      <c r="F859" s="11"/>
      <c r="G859" s="11"/>
    </row>
    <row r="860" ht="15.75" customHeight="1">
      <c r="A860" s="19"/>
      <c r="B860" s="11"/>
      <c r="C860" s="33"/>
      <c r="F860" s="11"/>
      <c r="G860" s="11"/>
    </row>
    <row r="861" ht="15.75" customHeight="1">
      <c r="A861" s="19"/>
      <c r="B861" s="11"/>
      <c r="C861" s="33"/>
      <c r="F861" s="11"/>
      <c r="G861" s="11"/>
    </row>
    <row r="862" ht="15.75" customHeight="1">
      <c r="A862" s="19"/>
      <c r="B862" s="11"/>
      <c r="C862" s="33"/>
      <c r="F862" s="11"/>
      <c r="G862" s="11"/>
    </row>
    <row r="863" ht="15.75" customHeight="1">
      <c r="A863" s="19"/>
      <c r="B863" s="11"/>
      <c r="C863" s="33"/>
      <c r="F863" s="11"/>
      <c r="G863" s="11"/>
    </row>
    <row r="864" ht="15.75" customHeight="1">
      <c r="A864" s="19"/>
      <c r="B864" s="11"/>
      <c r="C864" s="33"/>
      <c r="F864" s="11"/>
      <c r="G864" s="11"/>
    </row>
    <row r="865" ht="15.75" customHeight="1">
      <c r="A865" s="19"/>
      <c r="B865" s="11"/>
      <c r="C865" s="33"/>
      <c r="F865" s="11"/>
      <c r="G865" s="11"/>
    </row>
    <row r="866" ht="15.75" customHeight="1">
      <c r="A866" s="19"/>
      <c r="B866" s="11"/>
      <c r="C866" s="33"/>
      <c r="F866" s="11"/>
      <c r="G866" s="11"/>
    </row>
    <row r="867" ht="15.75" customHeight="1">
      <c r="A867" s="19"/>
      <c r="B867" s="11"/>
      <c r="C867" s="33"/>
      <c r="F867" s="11"/>
      <c r="G867" s="11"/>
    </row>
    <row r="868" ht="15.75" customHeight="1">
      <c r="A868" s="19"/>
      <c r="B868" s="11"/>
      <c r="C868" s="33"/>
      <c r="F868" s="11"/>
      <c r="G868" s="11"/>
    </row>
    <row r="869" ht="15.75" customHeight="1">
      <c r="A869" s="19"/>
      <c r="B869" s="11"/>
      <c r="C869" s="33"/>
      <c r="F869" s="11"/>
      <c r="G869" s="11"/>
    </row>
    <row r="870" ht="15.75" customHeight="1">
      <c r="A870" s="19"/>
      <c r="B870" s="11"/>
      <c r="C870" s="33"/>
      <c r="F870" s="11"/>
      <c r="G870" s="11"/>
    </row>
    <row r="871" ht="15.75" customHeight="1">
      <c r="A871" s="19"/>
      <c r="B871" s="11"/>
      <c r="C871" s="33"/>
      <c r="F871" s="11"/>
      <c r="G871" s="11"/>
    </row>
    <row r="872" ht="15.75" customHeight="1">
      <c r="A872" s="19"/>
      <c r="B872" s="11"/>
      <c r="C872" s="33"/>
      <c r="F872" s="11"/>
      <c r="G872" s="11"/>
    </row>
    <row r="873" ht="15.75" customHeight="1">
      <c r="A873" s="19"/>
      <c r="B873" s="11"/>
      <c r="C873" s="33"/>
      <c r="F873" s="11"/>
      <c r="G873" s="11"/>
    </row>
    <row r="874" ht="15.75" customHeight="1">
      <c r="A874" s="19"/>
      <c r="B874" s="11"/>
      <c r="C874" s="33"/>
      <c r="F874" s="11"/>
      <c r="G874" s="11"/>
    </row>
    <row r="875" ht="15.75" customHeight="1">
      <c r="A875" s="19"/>
      <c r="B875" s="11"/>
      <c r="C875" s="33"/>
      <c r="F875" s="11"/>
      <c r="G875" s="11"/>
    </row>
    <row r="876" ht="15.75" customHeight="1">
      <c r="A876" s="19"/>
      <c r="B876" s="11"/>
      <c r="C876" s="33"/>
      <c r="F876" s="11"/>
      <c r="G876" s="11"/>
    </row>
    <row r="877" ht="15.75" customHeight="1">
      <c r="A877" s="19"/>
      <c r="B877" s="11"/>
      <c r="C877" s="33"/>
      <c r="F877" s="11"/>
      <c r="G877" s="11"/>
    </row>
    <row r="878" ht="15.75" customHeight="1">
      <c r="A878" s="19"/>
      <c r="B878" s="11"/>
      <c r="C878" s="33"/>
      <c r="F878" s="11"/>
      <c r="G878" s="11"/>
    </row>
    <row r="879" ht="15.75" customHeight="1">
      <c r="A879" s="19"/>
      <c r="B879" s="11"/>
      <c r="C879" s="33"/>
      <c r="F879" s="11"/>
      <c r="G879" s="11"/>
    </row>
    <row r="880" ht="15.75" customHeight="1">
      <c r="A880" s="19"/>
      <c r="B880" s="11"/>
      <c r="C880" s="33"/>
      <c r="F880" s="11"/>
      <c r="G880" s="11"/>
    </row>
    <row r="881" ht="15.75" customHeight="1">
      <c r="A881" s="19"/>
      <c r="B881" s="11"/>
      <c r="C881" s="33"/>
      <c r="F881" s="11"/>
      <c r="G881" s="11"/>
    </row>
    <row r="882" ht="15.75" customHeight="1">
      <c r="A882" s="19"/>
      <c r="B882" s="11"/>
      <c r="C882" s="33"/>
      <c r="F882" s="11"/>
      <c r="G882" s="11"/>
    </row>
    <row r="883" ht="15.75" customHeight="1">
      <c r="A883" s="19"/>
      <c r="B883" s="11"/>
      <c r="C883" s="33"/>
      <c r="F883" s="11"/>
      <c r="G883" s="11"/>
    </row>
    <row r="884" ht="15.75" customHeight="1">
      <c r="A884" s="19"/>
      <c r="B884" s="11"/>
      <c r="C884" s="33"/>
      <c r="F884" s="11"/>
      <c r="G884" s="11"/>
    </row>
    <row r="885" ht="15.75" customHeight="1">
      <c r="A885" s="19"/>
      <c r="B885" s="11"/>
      <c r="C885" s="33"/>
      <c r="F885" s="11"/>
      <c r="G885" s="11"/>
    </row>
    <row r="886" ht="15.75" customHeight="1">
      <c r="A886" s="19"/>
      <c r="B886" s="11"/>
      <c r="C886" s="33"/>
      <c r="F886" s="11"/>
      <c r="G886" s="11"/>
    </row>
    <row r="887" ht="15.75" customHeight="1">
      <c r="A887" s="19"/>
      <c r="B887" s="11"/>
      <c r="C887" s="33"/>
      <c r="F887" s="11"/>
      <c r="G887" s="11"/>
    </row>
    <row r="888" ht="15.75" customHeight="1">
      <c r="A888" s="19"/>
      <c r="B888" s="11"/>
      <c r="C888" s="33"/>
      <c r="F888" s="11"/>
      <c r="G888" s="11"/>
    </row>
    <row r="889" ht="15.75" customHeight="1">
      <c r="A889" s="19"/>
      <c r="B889" s="11"/>
      <c r="C889" s="33"/>
      <c r="F889" s="11"/>
      <c r="G889" s="11"/>
    </row>
    <row r="890" ht="15.75" customHeight="1">
      <c r="A890" s="19"/>
      <c r="B890" s="11"/>
      <c r="C890" s="33"/>
      <c r="F890" s="11"/>
      <c r="G890" s="11"/>
    </row>
    <row r="891" ht="15.75" customHeight="1">
      <c r="A891" s="19"/>
      <c r="B891" s="11"/>
      <c r="C891" s="33"/>
      <c r="F891" s="11"/>
      <c r="G891" s="11"/>
    </row>
    <row r="892" ht="15.75" customHeight="1">
      <c r="A892" s="19"/>
      <c r="B892" s="11"/>
      <c r="C892" s="33"/>
      <c r="F892" s="11"/>
      <c r="G892" s="11"/>
    </row>
    <row r="893" ht="15.75" customHeight="1">
      <c r="A893" s="19"/>
      <c r="B893" s="11"/>
      <c r="C893" s="33"/>
      <c r="F893" s="11"/>
      <c r="G893" s="11"/>
    </row>
    <row r="894" ht="15.75" customHeight="1">
      <c r="A894" s="19"/>
      <c r="B894" s="11"/>
      <c r="C894" s="33"/>
      <c r="F894" s="11"/>
      <c r="G894" s="11"/>
    </row>
    <row r="895" ht="15.75" customHeight="1">
      <c r="A895" s="19"/>
      <c r="B895" s="11"/>
      <c r="C895" s="33"/>
      <c r="F895" s="11"/>
      <c r="G895" s="11"/>
    </row>
    <row r="896" ht="15.75" customHeight="1">
      <c r="A896" s="19"/>
      <c r="B896" s="11"/>
      <c r="C896" s="33"/>
      <c r="F896" s="11"/>
      <c r="G896" s="11"/>
    </row>
    <row r="897" ht="15.75" customHeight="1">
      <c r="A897" s="19"/>
      <c r="B897" s="11"/>
      <c r="C897" s="33"/>
      <c r="F897" s="11"/>
      <c r="G897" s="11"/>
    </row>
    <row r="898" ht="15.75" customHeight="1">
      <c r="A898" s="19"/>
      <c r="B898" s="11"/>
      <c r="C898" s="33"/>
      <c r="F898" s="11"/>
      <c r="G898" s="11"/>
    </row>
    <row r="899" ht="15.75" customHeight="1">
      <c r="A899" s="19"/>
      <c r="B899" s="11"/>
      <c r="C899" s="33"/>
      <c r="F899" s="11"/>
      <c r="G899" s="11"/>
    </row>
    <row r="900" ht="15.75" customHeight="1">
      <c r="A900" s="19"/>
      <c r="B900" s="11"/>
      <c r="C900" s="33"/>
      <c r="F900" s="11"/>
      <c r="G900" s="11"/>
    </row>
    <row r="901" ht="15.75" customHeight="1">
      <c r="A901" s="19"/>
      <c r="B901" s="11"/>
      <c r="C901" s="33"/>
      <c r="F901" s="11"/>
      <c r="G901" s="11"/>
    </row>
    <row r="902" ht="15.75" customHeight="1">
      <c r="A902" s="19"/>
      <c r="B902" s="11"/>
      <c r="C902" s="33"/>
      <c r="F902" s="11"/>
      <c r="G902" s="11"/>
    </row>
    <row r="903" ht="15.75" customHeight="1">
      <c r="A903" s="19"/>
      <c r="B903" s="11"/>
      <c r="C903" s="33"/>
      <c r="F903" s="11"/>
      <c r="G903" s="11"/>
    </row>
    <row r="904" ht="15.75" customHeight="1">
      <c r="A904" s="19"/>
      <c r="B904" s="11"/>
      <c r="C904" s="33"/>
      <c r="F904" s="11"/>
      <c r="G904" s="11"/>
    </row>
    <row r="905" ht="15.75" customHeight="1">
      <c r="A905" s="19"/>
      <c r="B905" s="11"/>
      <c r="C905" s="33"/>
      <c r="F905" s="11"/>
      <c r="G905" s="11"/>
    </row>
    <row r="906" ht="15.75" customHeight="1">
      <c r="A906" s="19"/>
      <c r="B906" s="11"/>
      <c r="C906" s="33"/>
      <c r="F906" s="11"/>
      <c r="G906" s="11"/>
    </row>
    <row r="907" ht="15.75" customHeight="1">
      <c r="A907" s="19"/>
      <c r="B907" s="11"/>
      <c r="C907" s="33"/>
      <c r="F907" s="11"/>
      <c r="G907" s="11"/>
    </row>
    <row r="908" ht="15.75" customHeight="1">
      <c r="A908" s="19"/>
      <c r="B908" s="11"/>
      <c r="C908" s="33"/>
      <c r="F908" s="11"/>
      <c r="G908" s="11"/>
    </row>
    <row r="909" ht="15.75" customHeight="1">
      <c r="A909" s="19"/>
      <c r="B909" s="11"/>
      <c r="C909" s="33"/>
      <c r="F909" s="11"/>
      <c r="G909" s="11"/>
    </row>
    <row r="910" ht="15.75" customHeight="1">
      <c r="A910" s="19"/>
      <c r="B910" s="11"/>
      <c r="C910" s="33"/>
      <c r="F910" s="11"/>
      <c r="G910" s="11"/>
    </row>
    <row r="911" ht="15.75" customHeight="1">
      <c r="A911" s="19"/>
      <c r="B911" s="11"/>
      <c r="C911" s="33"/>
      <c r="F911" s="11"/>
      <c r="G911" s="11"/>
    </row>
    <row r="912" ht="15.75" customHeight="1">
      <c r="A912" s="19"/>
      <c r="B912" s="11"/>
      <c r="C912" s="33"/>
      <c r="F912" s="11"/>
      <c r="G912" s="11"/>
    </row>
    <row r="913" ht="15.75" customHeight="1">
      <c r="A913" s="19"/>
      <c r="B913" s="11"/>
      <c r="C913" s="33"/>
      <c r="F913" s="11"/>
      <c r="G913" s="11"/>
    </row>
    <row r="914" ht="15.75" customHeight="1">
      <c r="A914" s="19"/>
      <c r="B914" s="11"/>
      <c r="C914" s="33"/>
      <c r="F914" s="11"/>
      <c r="G914" s="11"/>
    </row>
    <row r="915" ht="15.75" customHeight="1">
      <c r="A915" s="19"/>
      <c r="B915" s="11"/>
      <c r="C915" s="33"/>
      <c r="F915" s="11"/>
      <c r="G915" s="11"/>
    </row>
    <row r="916" ht="15.75" customHeight="1">
      <c r="A916" s="19"/>
      <c r="B916" s="11"/>
      <c r="C916" s="33"/>
      <c r="F916" s="11"/>
      <c r="G916" s="11"/>
    </row>
    <row r="917" ht="15.75" customHeight="1">
      <c r="A917" s="19"/>
      <c r="B917" s="11"/>
      <c r="C917" s="33"/>
      <c r="F917" s="11"/>
      <c r="G917" s="11"/>
    </row>
    <row r="918" ht="15.75" customHeight="1">
      <c r="A918" s="19"/>
      <c r="B918" s="11"/>
      <c r="C918" s="33"/>
      <c r="F918" s="11"/>
      <c r="G918" s="11"/>
    </row>
    <row r="919" ht="15.75" customHeight="1">
      <c r="A919" s="19"/>
      <c r="B919" s="11"/>
      <c r="C919" s="33"/>
      <c r="F919" s="11"/>
      <c r="G919" s="11"/>
    </row>
    <row r="920" ht="15.75" customHeight="1">
      <c r="A920" s="19"/>
      <c r="B920" s="11"/>
      <c r="C920" s="33"/>
      <c r="F920" s="11"/>
      <c r="G920" s="11"/>
    </row>
    <row r="921" ht="15.75" customHeight="1">
      <c r="A921" s="19"/>
      <c r="B921" s="11"/>
      <c r="C921" s="33"/>
      <c r="F921" s="11"/>
      <c r="G921" s="11"/>
    </row>
    <row r="922" ht="15.75" customHeight="1">
      <c r="A922" s="19"/>
      <c r="B922" s="11"/>
      <c r="C922" s="33"/>
      <c r="F922" s="11"/>
      <c r="G922" s="11"/>
    </row>
    <row r="923" ht="15.75" customHeight="1">
      <c r="A923" s="19"/>
      <c r="B923" s="11"/>
      <c r="C923" s="33"/>
      <c r="F923" s="11"/>
      <c r="G923" s="11"/>
    </row>
    <row r="924" ht="15.75" customHeight="1">
      <c r="A924" s="19"/>
      <c r="B924" s="11"/>
      <c r="C924" s="33"/>
      <c r="F924" s="11"/>
      <c r="G924" s="11"/>
    </row>
    <row r="925" ht="15.75" customHeight="1">
      <c r="A925" s="19"/>
      <c r="B925" s="11"/>
      <c r="C925" s="33"/>
      <c r="F925" s="11"/>
      <c r="G925" s="11"/>
    </row>
    <row r="926" ht="15.75" customHeight="1">
      <c r="A926" s="19"/>
      <c r="B926" s="11"/>
      <c r="C926" s="33"/>
      <c r="F926" s="11"/>
      <c r="G926" s="11"/>
    </row>
    <row r="927" ht="15.75" customHeight="1">
      <c r="A927" s="19"/>
      <c r="B927" s="11"/>
      <c r="C927" s="33"/>
      <c r="F927" s="11"/>
      <c r="G927" s="11"/>
    </row>
    <row r="928" ht="15.75" customHeight="1">
      <c r="A928" s="19"/>
      <c r="B928" s="11"/>
      <c r="C928" s="33"/>
      <c r="F928" s="11"/>
      <c r="G928" s="11"/>
    </row>
    <row r="929" ht="15.75" customHeight="1">
      <c r="A929" s="19"/>
      <c r="B929" s="11"/>
      <c r="C929" s="33"/>
      <c r="F929" s="11"/>
      <c r="G929" s="11"/>
    </row>
    <row r="930" ht="15.75" customHeight="1">
      <c r="A930" s="19"/>
      <c r="B930" s="11"/>
      <c r="C930" s="33"/>
      <c r="F930" s="11"/>
      <c r="G930" s="11"/>
    </row>
    <row r="931" ht="15.75" customHeight="1">
      <c r="A931" s="19"/>
      <c r="B931" s="11"/>
      <c r="C931" s="33"/>
      <c r="F931" s="11"/>
      <c r="G931" s="11"/>
    </row>
    <row r="932" ht="15.75" customHeight="1">
      <c r="A932" s="19"/>
      <c r="B932" s="11"/>
      <c r="C932" s="33"/>
      <c r="F932" s="11"/>
      <c r="G932" s="11"/>
    </row>
    <row r="933" ht="15.75" customHeight="1">
      <c r="A933" s="19"/>
      <c r="B933" s="11"/>
      <c r="C933" s="33"/>
      <c r="F933" s="11"/>
      <c r="G933" s="11"/>
    </row>
    <row r="934" ht="15.75" customHeight="1">
      <c r="A934" s="19"/>
      <c r="B934" s="11"/>
      <c r="C934" s="33"/>
      <c r="F934" s="11"/>
      <c r="G934" s="11"/>
    </row>
    <row r="935" ht="15.75" customHeight="1">
      <c r="A935" s="19"/>
      <c r="B935" s="11"/>
      <c r="C935" s="33"/>
      <c r="F935" s="11"/>
      <c r="G935" s="11"/>
    </row>
    <row r="936" ht="15.75" customHeight="1">
      <c r="A936" s="19"/>
      <c r="B936" s="11"/>
      <c r="C936" s="33"/>
      <c r="F936" s="11"/>
      <c r="G936" s="11"/>
    </row>
    <row r="937" ht="15.75" customHeight="1">
      <c r="A937" s="19"/>
      <c r="B937" s="11"/>
      <c r="C937" s="33"/>
      <c r="F937" s="11"/>
      <c r="G937" s="11"/>
    </row>
    <row r="938" ht="15.75" customHeight="1">
      <c r="A938" s="19"/>
      <c r="B938" s="11"/>
      <c r="C938" s="33"/>
      <c r="F938" s="11"/>
      <c r="G938" s="11"/>
    </row>
    <row r="939" ht="15.75" customHeight="1">
      <c r="A939" s="19"/>
      <c r="B939" s="11"/>
      <c r="C939" s="33"/>
      <c r="F939" s="11"/>
      <c r="G939" s="11"/>
    </row>
    <row r="940" ht="15.75" customHeight="1">
      <c r="A940" s="19"/>
      <c r="B940" s="11"/>
      <c r="C940" s="33"/>
      <c r="F940" s="11"/>
      <c r="G940" s="11"/>
    </row>
    <row r="941" ht="15.75" customHeight="1">
      <c r="A941" s="19"/>
      <c r="B941" s="11"/>
      <c r="C941" s="33"/>
      <c r="F941" s="11"/>
      <c r="G941" s="11"/>
    </row>
    <row r="942" ht="15.75" customHeight="1">
      <c r="A942" s="19"/>
      <c r="B942" s="11"/>
      <c r="C942" s="33"/>
      <c r="F942" s="11"/>
      <c r="G942" s="11"/>
    </row>
    <row r="943" ht="15.75" customHeight="1">
      <c r="A943" s="19"/>
      <c r="B943" s="11"/>
      <c r="C943" s="33"/>
      <c r="F943" s="11"/>
      <c r="G943" s="11"/>
    </row>
    <row r="944" ht="15.75" customHeight="1">
      <c r="A944" s="19"/>
      <c r="B944" s="11"/>
      <c r="C944" s="33"/>
      <c r="F944" s="11"/>
      <c r="G944" s="11"/>
    </row>
    <row r="945" ht="15.75" customHeight="1">
      <c r="A945" s="19"/>
      <c r="B945" s="11"/>
      <c r="C945" s="33"/>
      <c r="F945" s="11"/>
      <c r="G945" s="11"/>
    </row>
    <row r="946" ht="15.75" customHeight="1">
      <c r="A946" s="19"/>
      <c r="B946" s="11"/>
      <c r="C946" s="33"/>
      <c r="F946" s="11"/>
      <c r="G946" s="11"/>
    </row>
    <row r="947" ht="15.75" customHeight="1">
      <c r="A947" s="19"/>
      <c r="B947" s="11"/>
      <c r="C947" s="33"/>
      <c r="F947" s="11"/>
      <c r="G947" s="11"/>
    </row>
    <row r="948" ht="15.75" customHeight="1">
      <c r="A948" s="19"/>
      <c r="B948" s="11"/>
      <c r="C948" s="33"/>
      <c r="F948" s="11"/>
      <c r="G948" s="11"/>
    </row>
    <row r="949" ht="15.75" customHeight="1">
      <c r="A949" s="19"/>
      <c r="B949" s="11"/>
      <c r="C949" s="33"/>
      <c r="F949" s="11"/>
      <c r="G949" s="11"/>
    </row>
    <row r="950" ht="15.75" customHeight="1">
      <c r="A950" s="19"/>
      <c r="B950" s="11"/>
      <c r="C950" s="33"/>
      <c r="F950" s="11"/>
      <c r="G950" s="11"/>
    </row>
    <row r="951" ht="15.75" customHeight="1">
      <c r="A951" s="19"/>
      <c r="B951" s="11"/>
      <c r="C951" s="33"/>
      <c r="F951" s="11"/>
      <c r="G951" s="11"/>
    </row>
    <row r="952" ht="15.75" customHeight="1">
      <c r="A952" s="19"/>
      <c r="B952" s="11"/>
      <c r="C952" s="33"/>
      <c r="F952" s="11"/>
      <c r="G952" s="11"/>
    </row>
    <row r="953" ht="15.75" customHeight="1">
      <c r="A953" s="19"/>
      <c r="B953" s="11"/>
      <c r="C953" s="33"/>
      <c r="F953" s="11"/>
      <c r="G953" s="11"/>
    </row>
    <row r="954" ht="15.75" customHeight="1">
      <c r="A954" s="19"/>
      <c r="B954" s="11"/>
      <c r="C954" s="33"/>
      <c r="F954" s="11"/>
      <c r="G954" s="11"/>
    </row>
    <row r="955" ht="15.75" customHeight="1">
      <c r="A955" s="19"/>
      <c r="B955" s="11"/>
      <c r="C955" s="33"/>
      <c r="F955" s="11"/>
      <c r="G955" s="11"/>
    </row>
    <row r="956" ht="15.75" customHeight="1">
      <c r="A956" s="19"/>
      <c r="B956" s="11"/>
      <c r="C956" s="33"/>
      <c r="F956" s="11"/>
      <c r="G956" s="11"/>
    </row>
    <row r="957" ht="15.75" customHeight="1">
      <c r="A957" s="19"/>
      <c r="B957" s="11"/>
      <c r="C957" s="33"/>
      <c r="F957" s="11"/>
      <c r="G957" s="11"/>
    </row>
    <row r="958" ht="15.75" customHeight="1">
      <c r="A958" s="19"/>
      <c r="B958" s="11"/>
      <c r="C958" s="33"/>
      <c r="F958" s="11"/>
      <c r="G958" s="11"/>
    </row>
    <row r="959" ht="15.75" customHeight="1">
      <c r="A959" s="19"/>
      <c r="B959" s="11"/>
      <c r="C959" s="33"/>
      <c r="F959" s="11"/>
      <c r="G959" s="11"/>
    </row>
    <row r="960" ht="15.75" customHeight="1">
      <c r="A960" s="19"/>
      <c r="B960" s="11"/>
      <c r="C960" s="33"/>
      <c r="F960" s="11"/>
      <c r="G960" s="11"/>
    </row>
    <row r="961" ht="15.75" customHeight="1">
      <c r="A961" s="19"/>
      <c r="B961" s="11"/>
      <c r="C961" s="33"/>
      <c r="F961" s="11"/>
      <c r="G961" s="11"/>
    </row>
    <row r="962" ht="15.75" customHeight="1">
      <c r="A962" s="19"/>
      <c r="B962" s="11"/>
      <c r="C962" s="33"/>
      <c r="F962" s="11"/>
      <c r="G962" s="11"/>
    </row>
    <row r="963" ht="15.75" customHeight="1">
      <c r="A963" s="19"/>
      <c r="B963" s="11"/>
      <c r="C963" s="33"/>
      <c r="F963" s="11"/>
      <c r="G963" s="11"/>
    </row>
    <row r="964" ht="15.75" customHeight="1">
      <c r="A964" s="19"/>
      <c r="B964" s="11"/>
      <c r="C964" s="33"/>
      <c r="F964" s="11"/>
      <c r="G964" s="11"/>
    </row>
    <row r="965" ht="15.75" customHeight="1">
      <c r="A965" s="19"/>
      <c r="B965" s="11"/>
      <c r="C965" s="33"/>
      <c r="F965" s="11"/>
      <c r="G965" s="11"/>
    </row>
    <row r="966" ht="15.75" customHeight="1">
      <c r="A966" s="19"/>
      <c r="B966" s="11"/>
      <c r="C966" s="33"/>
      <c r="F966" s="11"/>
      <c r="G966" s="11"/>
    </row>
    <row r="967" ht="15.75" customHeight="1">
      <c r="A967" s="19"/>
      <c r="B967" s="11"/>
      <c r="C967" s="33"/>
      <c r="F967" s="11"/>
      <c r="G967" s="11"/>
    </row>
    <row r="968" ht="15.75" customHeight="1">
      <c r="A968" s="19"/>
      <c r="B968" s="11"/>
      <c r="C968" s="33"/>
      <c r="F968" s="11"/>
      <c r="G968" s="11"/>
    </row>
    <row r="969" ht="15.75" customHeight="1">
      <c r="A969" s="19"/>
      <c r="B969" s="11"/>
      <c r="C969" s="33"/>
      <c r="F969" s="11"/>
      <c r="G969" s="11"/>
    </row>
    <row r="970" ht="15.75" customHeight="1">
      <c r="A970" s="19"/>
      <c r="B970" s="11"/>
      <c r="C970" s="33"/>
      <c r="F970" s="11"/>
      <c r="G970" s="11"/>
    </row>
    <row r="971" ht="15.75" customHeight="1">
      <c r="A971" s="19"/>
      <c r="B971" s="11"/>
      <c r="C971" s="33"/>
      <c r="F971" s="11"/>
      <c r="G971" s="11"/>
    </row>
    <row r="972" ht="15.75" customHeight="1">
      <c r="A972" s="19"/>
      <c r="B972" s="11"/>
      <c r="C972" s="33"/>
      <c r="F972" s="11"/>
      <c r="G972" s="11"/>
    </row>
    <row r="973" ht="15.75" customHeight="1">
      <c r="A973" s="19"/>
      <c r="B973" s="11"/>
      <c r="C973" s="33"/>
      <c r="F973" s="11"/>
      <c r="G973" s="11"/>
    </row>
    <row r="974" ht="15.75" customHeight="1">
      <c r="A974" s="19"/>
      <c r="B974" s="11"/>
      <c r="C974" s="33"/>
      <c r="F974" s="11"/>
      <c r="G974" s="11"/>
    </row>
    <row r="975" ht="15.75" customHeight="1">
      <c r="A975" s="19"/>
      <c r="B975" s="11"/>
      <c r="C975" s="33"/>
      <c r="F975" s="11"/>
      <c r="G975" s="11"/>
    </row>
    <row r="976" ht="15.75" customHeight="1">
      <c r="A976" s="19"/>
      <c r="B976" s="11"/>
      <c r="C976" s="33"/>
      <c r="F976" s="11"/>
      <c r="G976" s="11"/>
    </row>
    <row r="977" ht="15.75" customHeight="1">
      <c r="A977" s="19"/>
      <c r="B977" s="11"/>
      <c r="C977" s="33"/>
      <c r="F977" s="11"/>
      <c r="G977" s="11"/>
    </row>
    <row r="978" ht="15.75" customHeight="1">
      <c r="A978" s="19"/>
      <c r="B978" s="11"/>
      <c r="C978" s="33"/>
      <c r="F978" s="11"/>
      <c r="G978" s="11"/>
    </row>
    <row r="979" ht="15.75" customHeight="1">
      <c r="A979" s="19"/>
      <c r="B979" s="11"/>
      <c r="C979" s="33"/>
      <c r="F979" s="11"/>
      <c r="G979" s="11"/>
    </row>
    <row r="980" ht="15.75" customHeight="1">
      <c r="A980" s="19"/>
      <c r="B980" s="11"/>
      <c r="C980" s="33"/>
      <c r="F980" s="11"/>
      <c r="G980" s="11"/>
    </row>
    <row r="981" ht="15.75" customHeight="1">
      <c r="A981" s="19"/>
      <c r="B981" s="11"/>
      <c r="C981" s="33"/>
      <c r="F981" s="11"/>
      <c r="G981" s="11"/>
    </row>
    <row r="982" ht="15.75" customHeight="1">
      <c r="A982" s="19"/>
      <c r="B982" s="11"/>
      <c r="C982" s="33"/>
      <c r="F982" s="11"/>
      <c r="G982" s="11"/>
    </row>
    <row r="983" ht="15.75" customHeight="1">
      <c r="A983" s="19"/>
      <c r="B983" s="11"/>
      <c r="C983" s="33"/>
      <c r="F983" s="11"/>
      <c r="G983" s="11"/>
    </row>
    <row r="984" ht="15.75" customHeight="1">
      <c r="A984" s="19"/>
      <c r="B984" s="11"/>
      <c r="C984" s="33"/>
      <c r="F984" s="11"/>
      <c r="G984" s="11"/>
    </row>
    <row r="985" ht="15.75" customHeight="1">
      <c r="A985" s="19"/>
      <c r="B985" s="11"/>
      <c r="C985" s="33"/>
      <c r="F985" s="11"/>
      <c r="G985" s="11"/>
    </row>
    <row r="986" ht="15.75" customHeight="1">
      <c r="A986" s="19"/>
      <c r="B986" s="11"/>
      <c r="C986" s="33"/>
      <c r="F986" s="11"/>
      <c r="G986" s="11"/>
    </row>
    <row r="987" ht="15.75" customHeight="1">
      <c r="A987" s="19"/>
      <c r="B987" s="11"/>
      <c r="C987" s="33"/>
      <c r="F987" s="11"/>
      <c r="G987" s="11"/>
    </row>
    <row r="988" ht="15.75" customHeight="1">
      <c r="A988" s="19"/>
      <c r="B988" s="11"/>
      <c r="C988" s="33"/>
      <c r="F988" s="11"/>
      <c r="G988" s="11"/>
    </row>
    <row r="989" ht="15.75" customHeight="1">
      <c r="A989" s="19"/>
      <c r="B989" s="11"/>
      <c r="C989" s="33"/>
      <c r="F989" s="11"/>
      <c r="G989" s="11"/>
    </row>
    <row r="990" ht="15.75" customHeight="1">
      <c r="A990" s="19"/>
      <c r="B990" s="11"/>
      <c r="C990" s="33"/>
      <c r="F990" s="11"/>
      <c r="G990" s="11"/>
    </row>
    <row r="991" ht="15.75" customHeight="1">
      <c r="A991" s="19"/>
      <c r="B991" s="11"/>
      <c r="C991" s="33"/>
      <c r="F991" s="11"/>
      <c r="G991" s="11"/>
    </row>
    <row r="992" ht="15.75" customHeight="1">
      <c r="A992" s="19"/>
      <c r="B992" s="11"/>
      <c r="C992" s="33"/>
      <c r="F992" s="11"/>
      <c r="G992" s="11"/>
    </row>
    <row r="993" ht="15.75" customHeight="1">
      <c r="A993" s="19"/>
      <c r="B993" s="11"/>
      <c r="C993" s="33"/>
      <c r="F993" s="11"/>
      <c r="G993" s="11"/>
    </row>
    <row r="994" ht="15.75" customHeight="1">
      <c r="A994" s="19"/>
      <c r="B994" s="11"/>
      <c r="C994" s="33"/>
      <c r="F994" s="11"/>
      <c r="G994" s="11"/>
    </row>
    <row r="995" ht="15.75" customHeight="1">
      <c r="A995" s="19"/>
      <c r="B995" s="11"/>
      <c r="C995" s="33"/>
      <c r="F995" s="11"/>
      <c r="G995" s="11"/>
    </row>
    <row r="996" ht="15.75" customHeight="1">
      <c r="A996" s="19"/>
      <c r="B996" s="11"/>
      <c r="C996" s="33"/>
      <c r="F996" s="11"/>
      <c r="G996" s="11"/>
    </row>
    <row r="997" ht="15.75" customHeight="1">
      <c r="A997" s="19"/>
      <c r="B997" s="11"/>
      <c r="C997" s="33"/>
      <c r="F997" s="11"/>
      <c r="G997" s="11"/>
    </row>
    <row r="998" ht="15.75" customHeight="1">
      <c r="A998" s="19"/>
      <c r="B998" s="11"/>
      <c r="C998" s="33"/>
      <c r="F998" s="11"/>
      <c r="G998" s="11"/>
    </row>
    <row r="999" ht="15.75" customHeight="1">
      <c r="A999" s="19"/>
      <c r="B999" s="11"/>
      <c r="C999" s="33"/>
      <c r="F999" s="11"/>
      <c r="G999" s="11"/>
    </row>
    <row r="1000" ht="15.75" customHeight="1">
      <c r="A1000" s="19"/>
      <c r="B1000" s="11"/>
      <c r="C1000" s="33"/>
      <c r="F1000" s="11"/>
      <c r="G1000" s="11"/>
    </row>
  </sheetData>
  <conditionalFormatting sqref="C2:C1000">
    <cfRule type="expression" dxfId="0" priority="1" stopIfTrue="1">
      <formula>$D2="NO ENCONTRADO"</formula>
    </cfRule>
  </conditionalFormatting>
  <conditionalFormatting sqref="B2:B263 B265:B269 B271:B1000">
    <cfRule type="containsBlanks" dxfId="1" priority="2">
      <formula>LEN(TRIM(B2))=0</formula>
    </cfRule>
  </conditionalFormatting>
  <conditionalFormatting sqref="G2:G1000">
    <cfRule type="containsBlanks" dxfId="1" priority="3">
      <formula>LEN(TRIM(G2))=0</formula>
    </cfRule>
  </conditionalFormatting>
  <dataValidations>
    <dataValidation type="list" allowBlank="1" sqref="F2:F300">
      <formula1>PRODUCTOS!$B$2:$B1000</formula1>
    </dataValidation>
    <dataValidation type="list" allowBlank="1" sqref="C2:C1000">
      <formula1>PRODUCTORES!$F$2:$F1000</formula1>
    </dataValidation>
    <dataValidation type="decimal" operator="greaterThan" allowBlank="1" sqref="G2:G500">
      <formula1>0.0</formula1>
    </dataValidation>
    <dataValidation type="custom" allowBlank="1" showInputMessage="1" showErrorMessage="1" prompt="Ingrese una fecha válida en formato DD-MM-AAAA" sqref="B2:B100">
      <formula1>OR(NOT(ISERROR(DATEVALUE(B2))), AND(ISNUMBER(B2), LEFT(CELL("format", B2))="D"))</formula1>
    </dataValidation>
    <dataValidation type="list" allowBlank="1" showErrorMessage="1" sqref="F301:F1000">
      <formula1>PRODUCTOS!$B$2:$B1000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32.43"/>
    <col customWidth="1" min="3" max="3" width="26.0"/>
    <col customWidth="1" min="4" max="4" width="15.71"/>
    <col customWidth="1" min="5" max="5" width="19.29"/>
    <col customWidth="1" min="6" max="6" width="54.71"/>
    <col customWidth="1" min="7" max="22" width="8.71"/>
  </cols>
  <sheetData>
    <row r="1">
      <c r="A1" s="2" t="s">
        <v>3</v>
      </c>
      <c r="B1" s="2" t="s">
        <v>9</v>
      </c>
      <c r="C1" s="2" t="s">
        <v>10</v>
      </c>
      <c r="D1" s="2" t="s">
        <v>12</v>
      </c>
      <c r="E1" s="5" t="s">
        <v>15</v>
      </c>
      <c r="F1" s="5" t="s">
        <v>18</v>
      </c>
    </row>
    <row r="2" hidden="1">
      <c r="A2" s="3" t="s">
        <v>19</v>
      </c>
      <c r="B2" s="4" t="s">
        <v>20</v>
      </c>
      <c r="C2" s="4" t="s">
        <v>21</v>
      </c>
      <c r="D2" s="3" t="s">
        <v>38</v>
      </c>
      <c r="E2" s="4"/>
      <c r="F2" s="11" t="str">
        <f t="array" ref="F2:F1000">IF(A2:A1000="", "", A2:A1000 &amp; " - " &amp; TRIM(B2:B1000 &amp; " " &amp; C2:C1000))</f>
        <v>PROD-001 - AGUIER HUGO</v>
      </c>
    </row>
    <row r="3" hidden="1">
      <c r="A3" s="3" t="s">
        <v>89</v>
      </c>
      <c r="B3" s="4" t="s">
        <v>90</v>
      </c>
      <c r="C3" s="4" t="s">
        <v>91</v>
      </c>
      <c r="D3" s="3" t="s">
        <v>38</v>
      </c>
      <c r="E3" s="4"/>
      <c r="F3" s="11" t="s">
        <v>92</v>
      </c>
    </row>
    <row r="4" hidden="1">
      <c r="A4" s="3" t="s">
        <v>93</v>
      </c>
      <c r="B4" s="4" t="s">
        <v>90</v>
      </c>
      <c r="C4" s="4" t="s">
        <v>94</v>
      </c>
      <c r="D4" s="3" t="s">
        <v>38</v>
      </c>
      <c r="E4" s="4"/>
      <c r="F4" s="11" t="s">
        <v>95</v>
      </c>
    </row>
    <row r="5">
      <c r="A5" s="3" t="s">
        <v>96</v>
      </c>
      <c r="B5" s="4" t="s">
        <v>97</v>
      </c>
      <c r="C5" s="4" t="s">
        <v>98</v>
      </c>
      <c r="D5" s="3" t="s">
        <v>99</v>
      </c>
      <c r="E5" s="4"/>
      <c r="F5" s="11" t="s">
        <v>100</v>
      </c>
    </row>
    <row r="6" hidden="1">
      <c r="A6" s="3" t="s">
        <v>101</v>
      </c>
      <c r="B6" s="4" t="s">
        <v>102</v>
      </c>
      <c r="C6" s="4" t="s">
        <v>21</v>
      </c>
      <c r="D6" s="3" t="s">
        <v>38</v>
      </c>
      <c r="E6" s="4"/>
      <c r="F6" s="11" t="s">
        <v>103</v>
      </c>
    </row>
    <row r="7" hidden="1">
      <c r="A7" s="3" t="s">
        <v>104</v>
      </c>
      <c r="B7" s="4" t="s">
        <v>102</v>
      </c>
      <c r="C7" s="4" t="s">
        <v>105</v>
      </c>
      <c r="D7" s="3" t="s">
        <v>38</v>
      </c>
      <c r="E7" s="4"/>
      <c r="F7" s="11" t="s">
        <v>106</v>
      </c>
    </row>
    <row r="8">
      <c r="A8" s="3" t="s">
        <v>107</v>
      </c>
      <c r="B8" s="4" t="s">
        <v>108</v>
      </c>
      <c r="C8" s="4" t="s">
        <v>109</v>
      </c>
      <c r="D8" s="3" t="s">
        <v>99</v>
      </c>
      <c r="E8" s="4"/>
      <c r="F8" s="11" t="s">
        <v>110</v>
      </c>
    </row>
    <row r="9" hidden="1">
      <c r="A9" s="3" t="s">
        <v>111</v>
      </c>
      <c r="B9" s="4" t="s">
        <v>112</v>
      </c>
      <c r="C9" s="4" t="s">
        <v>113</v>
      </c>
      <c r="D9" s="3" t="s">
        <v>38</v>
      </c>
      <c r="E9" s="4"/>
      <c r="F9" s="11" t="s">
        <v>114</v>
      </c>
    </row>
    <row r="10">
      <c r="A10" s="3" t="s">
        <v>115</v>
      </c>
      <c r="B10" s="4" t="s">
        <v>116</v>
      </c>
      <c r="C10" s="4" t="s">
        <v>117</v>
      </c>
      <c r="D10" s="3" t="s">
        <v>99</v>
      </c>
      <c r="E10" s="4"/>
      <c r="F10" s="11" t="s">
        <v>118</v>
      </c>
    </row>
    <row r="11" hidden="1">
      <c r="A11" s="3" t="s">
        <v>119</v>
      </c>
      <c r="B11" s="4" t="s">
        <v>120</v>
      </c>
      <c r="C11" s="4" t="s">
        <v>121</v>
      </c>
      <c r="D11" s="3" t="s">
        <v>38</v>
      </c>
      <c r="E11" s="4"/>
      <c r="F11" s="11" t="s">
        <v>122</v>
      </c>
    </row>
    <row r="12" hidden="1">
      <c r="A12" s="3" t="s">
        <v>123</v>
      </c>
      <c r="B12" s="4" t="s">
        <v>124</v>
      </c>
      <c r="C12" s="4" t="s">
        <v>125</v>
      </c>
      <c r="D12" s="3" t="s">
        <v>38</v>
      </c>
      <c r="E12" s="4"/>
      <c r="F12" s="11" t="s">
        <v>126</v>
      </c>
    </row>
    <row r="13">
      <c r="A13" s="3" t="s">
        <v>127</v>
      </c>
      <c r="B13" s="4" t="s">
        <v>128</v>
      </c>
      <c r="C13" s="4" t="s">
        <v>129</v>
      </c>
      <c r="D13" s="3" t="s">
        <v>99</v>
      </c>
      <c r="E13" s="4"/>
      <c r="F13" s="11" t="s">
        <v>130</v>
      </c>
    </row>
    <row r="14">
      <c r="A14" s="3" t="s">
        <v>131</v>
      </c>
      <c r="B14" s="4" t="s">
        <v>132</v>
      </c>
      <c r="C14" s="4" t="s">
        <v>133</v>
      </c>
      <c r="D14" s="3" t="s">
        <v>99</v>
      </c>
      <c r="E14" s="4"/>
      <c r="F14" s="11" t="s">
        <v>134</v>
      </c>
    </row>
    <row r="15" hidden="1">
      <c r="A15" s="3" t="s">
        <v>135</v>
      </c>
      <c r="B15" s="4" t="s">
        <v>136</v>
      </c>
      <c r="C15" s="4" t="s">
        <v>137</v>
      </c>
      <c r="D15" s="3" t="s">
        <v>38</v>
      </c>
      <c r="E15" s="4"/>
      <c r="F15" s="11" t="s">
        <v>138</v>
      </c>
    </row>
    <row r="16">
      <c r="A16" s="3" t="s">
        <v>139</v>
      </c>
      <c r="B16" s="4" t="s">
        <v>140</v>
      </c>
      <c r="C16" s="4" t="s">
        <v>141</v>
      </c>
      <c r="D16" s="3" t="s">
        <v>99</v>
      </c>
      <c r="E16" s="4"/>
      <c r="F16" s="11" t="s">
        <v>142</v>
      </c>
    </row>
    <row r="17">
      <c r="A17" s="3" t="s">
        <v>143</v>
      </c>
      <c r="B17" s="4" t="s">
        <v>144</v>
      </c>
      <c r="C17" s="4" t="s">
        <v>145</v>
      </c>
      <c r="D17" s="3" t="s">
        <v>99</v>
      </c>
      <c r="E17" s="4"/>
      <c r="F17" s="11" t="s">
        <v>146</v>
      </c>
    </row>
    <row r="18">
      <c r="A18" s="3" t="s">
        <v>147</v>
      </c>
      <c r="B18" s="4" t="s">
        <v>148</v>
      </c>
      <c r="C18" s="4" t="s">
        <v>149</v>
      </c>
      <c r="D18" s="3" t="s">
        <v>99</v>
      </c>
      <c r="E18" s="4"/>
      <c r="F18" s="11" t="s">
        <v>150</v>
      </c>
    </row>
    <row r="19">
      <c r="A19" s="3" t="s">
        <v>151</v>
      </c>
      <c r="B19" s="4" t="s">
        <v>152</v>
      </c>
      <c r="C19" s="4" t="s">
        <v>153</v>
      </c>
      <c r="D19" s="3" t="s">
        <v>99</v>
      </c>
      <c r="E19" s="4"/>
      <c r="F19" s="11" t="s">
        <v>88</v>
      </c>
    </row>
    <row r="20">
      <c r="A20" s="3" t="s">
        <v>154</v>
      </c>
      <c r="B20" s="4" t="s">
        <v>155</v>
      </c>
      <c r="C20" s="4" t="s">
        <v>156</v>
      </c>
      <c r="D20" s="3" t="s">
        <v>99</v>
      </c>
      <c r="E20" s="4"/>
      <c r="F20" s="11" t="s">
        <v>157</v>
      </c>
    </row>
    <row r="21" ht="15.75" customHeight="1">
      <c r="A21" s="3" t="s">
        <v>158</v>
      </c>
      <c r="B21" s="4" t="s">
        <v>159</v>
      </c>
      <c r="C21" s="4" t="s">
        <v>160</v>
      </c>
      <c r="D21" s="3" t="s">
        <v>99</v>
      </c>
      <c r="E21" s="4"/>
      <c r="F21" s="11" t="s">
        <v>161</v>
      </c>
    </row>
    <row r="22" ht="15.75" customHeight="1">
      <c r="A22" s="3" t="s">
        <v>162</v>
      </c>
      <c r="B22" s="4" t="s">
        <v>159</v>
      </c>
      <c r="C22" s="4" t="s">
        <v>163</v>
      </c>
      <c r="D22" s="3" t="s">
        <v>99</v>
      </c>
      <c r="E22" s="4"/>
      <c r="F22" s="11" t="s">
        <v>164</v>
      </c>
    </row>
    <row r="23" ht="15.75" customHeight="1">
      <c r="A23" s="3" t="s">
        <v>165</v>
      </c>
      <c r="B23" s="4" t="s">
        <v>159</v>
      </c>
      <c r="C23" s="4" t="s">
        <v>166</v>
      </c>
      <c r="D23" s="3" t="s">
        <v>99</v>
      </c>
      <c r="E23" s="4"/>
      <c r="F23" s="11" t="s">
        <v>167</v>
      </c>
    </row>
    <row r="24" ht="15.75" customHeight="1">
      <c r="A24" s="3" t="s">
        <v>168</v>
      </c>
      <c r="B24" s="4" t="s">
        <v>169</v>
      </c>
      <c r="C24" s="4" t="s">
        <v>170</v>
      </c>
      <c r="D24" s="3" t="s">
        <v>99</v>
      </c>
      <c r="E24" s="4"/>
      <c r="F24" s="11" t="s">
        <v>171</v>
      </c>
    </row>
    <row r="25" ht="15.75" customHeight="1">
      <c r="A25" s="3" t="s">
        <v>172</v>
      </c>
      <c r="B25" s="4" t="s">
        <v>173</v>
      </c>
      <c r="C25" s="4" t="s">
        <v>174</v>
      </c>
      <c r="D25" s="3" t="s">
        <v>99</v>
      </c>
      <c r="E25" s="4"/>
      <c r="F25" s="11" t="s">
        <v>175</v>
      </c>
    </row>
    <row r="26" ht="15.75" customHeight="1">
      <c r="A26" s="3" t="s">
        <v>176</v>
      </c>
      <c r="B26" s="4" t="s">
        <v>177</v>
      </c>
      <c r="C26" s="4" t="s">
        <v>178</v>
      </c>
      <c r="D26" s="3" t="s">
        <v>99</v>
      </c>
      <c r="E26" s="4"/>
      <c r="F26" s="11" t="s">
        <v>179</v>
      </c>
    </row>
    <row r="27" ht="15.75" customHeight="1">
      <c r="A27" s="3" t="s">
        <v>180</v>
      </c>
      <c r="B27" s="4" t="s">
        <v>181</v>
      </c>
      <c r="C27" s="4" t="s">
        <v>182</v>
      </c>
      <c r="D27" s="3" t="s">
        <v>99</v>
      </c>
      <c r="E27" s="4"/>
      <c r="F27" s="11" t="s">
        <v>183</v>
      </c>
    </row>
    <row r="28" ht="15.75" customHeight="1">
      <c r="A28" s="3" t="s">
        <v>184</v>
      </c>
      <c r="B28" s="4" t="s">
        <v>185</v>
      </c>
      <c r="C28" s="4" t="s">
        <v>186</v>
      </c>
      <c r="D28" s="3" t="s">
        <v>99</v>
      </c>
      <c r="E28" s="4"/>
      <c r="F28" s="11" t="s">
        <v>187</v>
      </c>
    </row>
    <row r="29" ht="15.75" hidden="1" customHeight="1">
      <c r="A29" s="3" t="s">
        <v>188</v>
      </c>
      <c r="B29" s="4" t="s">
        <v>189</v>
      </c>
      <c r="C29" s="4" t="s">
        <v>190</v>
      </c>
      <c r="D29" s="3" t="s">
        <v>38</v>
      </c>
      <c r="E29" s="4"/>
      <c r="F29" s="11" t="s">
        <v>191</v>
      </c>
    </row>
    <row r="30" ht="15.75" customHeight="1">
      <c r="A30" s="3" t="s">
        <v>192</v>
      </c>
      <c r="B30" s="4" t="s">
        <v>193</v>
      </c>
      <c r="C30" s="4" t="s">
        <v>194</v>
      </c>
      <c r="D30" s="3" t="s">
        <v>99</v>
      </c>
      <c r="E30" s="4"/>
      <c r="F30" s="11" t="s">
        <v>195</v>
      </c>
    </row>
    <row r="31" ht="15.75" customHeight="1">
      <c r="A31" s="3" t="s">
        <v>196</v>
      </c>
      <c r="B31" s="4" t="s">
        <v>197</v>
      </c>
      <c r="C31" s="4" t="s">
        <v>198</v>
      </c>
      <c r="D31" s="3" t="s">
        <v>99</v>
      </c>
      <c r="E31" s="4"/>
      <c r="F31" s="11" t="s">
        <v>199</v>
      </c>
    </row>
    <row r="32" ht="15.75" customHeight="1">
      <c r="A32" s="3" t="s">
        <v>200</v>
      </c>
      <c r="B32" s="4" t="s">
        <v>201</v>
      </c>
      <c r="C32" s="4" t="s">
        <v>202</v>
      </c>
      <c r="D32" s="3" t="s">
        <v>99</v>
      </c>
      <c r="E32" s="4"/>
      <c r="F32" s="11" t="s">
        <v>203</v>
      </c>
    </row>
    <row r="33" ht="15.75" customHeight="1">
      <c r="A33" s="3" t="s">
        <v>204</v>
      </c>
      <c r="B33" s="4" t="s">
        <v>201</v>
      </c>
      <c r="C33" s="4" t="s">
        <v>205</v>
      </c>
      <c r="D33" s="3" t="s">
        <v>99</v>
      </c>
      <c r="E33" s="4"/>
      <c r="F33" s="11" t="s">
        <v>206</v>
      </c>
    </row>
    <row r="34" ht="15.75" customHeight="1">
      <c r="A34" s="3" t="s">
        <v>207</v>
      </c>
      <c r="B34" s="4" t="s">
        <v>208</v>
      </c>
      <c r="C34" s="4" t="s">
        <v>209</v>
      </c>
      <c r="D34" s="3" t="s">
        <v>99</v>
      </c>
      <c r="E34" s="4"/>
      <c r="F34" s="11" t="s">
        <v>210</v>
      </c>
    </row>
    <row r="35" ht="15.75" customHeight="1">
      <c r="A35" s="3" t="s">
        <v>211</v>
      </c>
      <c r="B35" s="4" t="s">
        <v>212</v>
      </c>
      <c r="C35" s="4" t="s">
        <v>213</v>
      </c>
      <c r="D35" s="3" t="s">
        <v>99</v>
      </c>
      <c r="E35" s="4"/>
      <c r="F35" s="11" t="s">
        <v>214</v>
      </c>
    </row>
    <row r="36" ht="15.75" hidden="1" customHeight="1">
      <c r="A36" s="3" t="s">
        <v>215</v>
      </c>
      <c r="B36" s="4" t="s">
        <v>216</v>
      </c>
      <c r="C36" s="4" t="s">
        <v>217</v>
      </c>
      <c r="D36" s="3" t="s">
        <v>38</v>
      </c>
      <c r="E36" s="4"/>
      <c r="F36" s="11" t="s">
        <v>218</v>
      </c>
    </row>
    <row r="37" ht="15.75" customHeight="1">
      <c r="A37" s="3" t="s">
        <v>219</v>
      </c>
      <c r="B37" s="4" t="s">
        <v>220</v>
      </c>
      <c r="C37" s="4" t="s">
        <v>221</v>
      </c>
      <c r="D37" s="3" t="s">
        <v>99</v>
      </c>
      <c r="E37" s="4"/>
      <c r="F37" s="11" t="s">
        <v>222</v>
      </c>
    </row>
    <row r="38" ht="15.75" customHeight="1">
      <c r="A38" s="3" t="s">
        <v>223</v>
      </c>
      <c r="B38" s="4" t="s">
        <v>224</v>
      </c>
      <c r="C38" s="4" t="s">
        <v>225</v>
      </c>
      <c r="D38" s="3" t="s">
        <v>99</v>
      </c>
      <c r="E38" s="4"/>
      <c r="F38" s="11" t="s">
        <v>226</v>
      </c>
    </row>
    <row r="39" ht="15.75" hidden="1" customHeight="1">
      <c r="A39" s="3" t="s">
        <v>227</v>
      </c>
      <c r="B39" s="4" t="s">
        <v>228</v>
      </c>
      <c r="C39" s="4" t="s">
        <v>229</v>
      </c>
      <c r="D39" s="3" t="s">
        <v>38</v>
      </c>
      <c r="E39" s="4"/>
      <c r="F39" s="11" t="s">
        <v>230</v>
      </c>
    </row>
    <row r="40" ht="15.75" customHeight="1">
      <c r="A40" s="3" t="s">
        <v>231</v>
      </c>
      <c r="B40" s="4" t="s">
        <v>232</v>
      </c>
      <c r="C40" s="4" t="s">
        <v>233</v>
      </c>
      <c r="D40" s="3" t="s">
        <v>99</v>
      </c>
      <c r="E40" s="4"/>
      <c r="F40" s="11" t="s">
        <v>234</v>
      </c>
    </row>
    <row r="41" ht="15.75" hidden="1" customHeight="1">
      <c r="A41" s="3" t="s">
        <v>235</v>
      </c>
      <c r="B41" s="4" t="s">
        <v>232</v>
      </c>
      <c r="C41" s="4" t="s">
        <v>236</v>
      </c>
      <c r="D41" s="3" t="s">
        <v>38</v>
      </c>
      <c r="E41" s="4"/>
      <c r="F41" s="11" t="s">
        <v>237</v>
      </c>
    </row>
    <row r="42" ht="15.75" customHeight="1">
      <c r="A42" s="3" t="s">
        <v>238</v>
      </c>
      <c r="B42" s="4" t="s">
        <v>239</v>
      </c>
      <c r="C42" s="4" t="s">
        <v>240</v>
      </c>
      <c r="D42" s="3" t="s">
        <v>99</v>
      </c>
      <c r="E42" s="4"/>
      <c r="F42" s="11" t="s">
        <v>241</v>
      </c>
    </row>
    <row r="43" ht="15.75" hidden="1" customHeight="1">
      <c r="A43" s="3" t="s">
        <v>242</v>
      </c>
      <c r="B43" s="4" t="s">
        <v>239</v>
      </c>
      <c r="C43" s="4" t="s">
        <v>243</v>
      </c>
      <c r="D43" s="3" t="s">
        <v>38</v>
      </c>
      <c r="E43" s="4"/>
      <c r="F43" s="11" t="s">
        <v>244</v>
      </c>
    </row>
    <row r="44" ht="15.75" customHeight="1">
      <c r="A44" s="3" t="s">
        <v>245</v>
      </c>
      <c r="B44" s="4" t="s">
        <v>239</v>
      </c>
      <c r="C44" s="4" t="s">
        <v>246</v>
      </c>
      <c r="D44" s="3" t="s">
        <v>99</v>
      </c>
      <c r="E44" s="4"/>
      <c r="F44" s="11" t="s">
        <v>247</v>
      </c>
    </row>
    <row r="45" ht="15.75" customHeight="1">
      <c r="A45" s="3" t="s">
        <v>248</v>
      </c>
      <c r="B45" s="4" t="s">
        <v>249</v>
      </c>
      <c r="C45" s="4" t="s">
        <v>250</v>
      </c>
      <c r="D45" s="3" t="s">
        <v>99</v>
      </c>
      <c r="E45" s="4"/>
      <c r="F45" s="11" t="s">
        <v>251</v>
      </c>
    </row>
    <row r="46" ht="15.75" customHeight="1">
      <c r="A46" s="3" t="s">
        <v>252</v>
      </c>
      <c r="B46" s="4" t="s">
        <v>253</v>
      </c>
      <c r="C46" s="4" t="s">
        <v>254</v>
      </c>
      <c r="D46" s="3" t="s">
        <v>99</v>
      </c>
      <c r="E46" s="4"/>
      <c r="F46" s="11" t="s">
        <v>255</v>
      </c>
    </row>
    <row r="47" ht="15.75" customHeight="1">
      <c r="A47" s="3" t="s">
        <v>256</v>
      </c>
      <c r="B47" s="4" t="s">
        <v>257</v>
      </c>
      <c r="C47" s="4" t="s">
        <v>258</v>
      </c>
      <c r="D47" s="3" t="s">
        <v>99</v>
      </c>
      <c r="E47" s="4"/>
      <c r="F47" s="11" t="s">
        <v>259</v>
      </c>
    </row>
    <row r="48" ht="15.75" customHeight="1">
      <c r="A48" s="3" t="s">
        <v>260</v>
      </c>
      <c r="B48" s="4" t="s">
        <v>261</v>
      </c>
      <c r="C48" s="4" t="s">
        <v>262</v>
      </c>
      <c r="D48" s="3" t="s">
        <v>99</v>
      </c>
      <c r="E48" s="4"/>
      <c r="F48" s="11" t="s">
        <v>263</v>
      </c>
    </row>
    <row r="49" ht="15.75" customHeight="1">
      <c r="A49" s="3" t="s">
        <v>264</v>
      </c>
      <c r="B49" s="4" t="s">
        <v>265</v>
      </c>
      <c r="C49" s="4" t="s">
        <v>266</v>
      </c>
      <c r="D49" s="3" t="s">
        <v>99</v>
      </c>
      <c r="E49" s="4"/>
      <c r="F49" s="11" t="s">
        <v>267</v>
      </c>
    </row>
    <row r="50" ht="15.75" customHeight="1">
      <c r="A50" s="3" t="s">
        <v>268</v>
      </c>
      <c r="B50" s="4" t="s">
        <v>269</v>
      </c>
      <c r="C50" s="4" t="s">
        <v>270</v>
      </c>
      <c r="D50" s="3" t="s">
        <v>99</v>
      </c>
      <c r="E50" s="4"/>
      <c r="F50" s="11" t="s">
        <v>271</v>
      </c>
    </row>
    <row r="51" ht="15.75" customHeight="1">
      <c r="A51" s="3" t="s">
        <v>272</v>
      </c>
      <c r="B51" s="4" t="s">
        <v>273</v>
      </c>
      <c r="C51" s="4" t="s">
        <v>274</v>
      </c>
      <c r="D51" s="3" t="s">
        <v>99</v>
      </c>
      <c r="E51" s="4"/>
      <c r="F51" s="11" t="s">
        <v>275</v>
      </c>
    </row>
    <row r="52" ht="15.75" customHeight="1">
      <c r="A52" s="3" t="s">
        <v>276</v>
      </c>
      <c r="B52" s="4" t="s">
        <v>277</v>
      </c>
      <c r="C52" s="4" t="s">
        <v>270</v>
      </c>
      <c r="D52" s="3" t="s">
        <v>99</v>
      </c>
      <c r="E52" s="4"/>
      <c r="F52" s="11" t="s">
        <v>278</v>
      </c>
    </row>
    <row r="53" ht="15.75" customHeight="1">
      <c r="A53" s="3" t="s">
        <v>279</v>
      </c>
      <c r="B53" s="4" t="s">
        <v>280</v>
      </c>
      <c r="C53" s="4" t="s">
        <v>281</v>
      </c>
      <c r="D53" s="3" t="s">
        <v>99</v>
      </c>
      <c r="E53" s="4"/>
      <c r="F53" s="11" t="s">
        <v>282</v>
      </c>
    </row>
    <row r="54" ht="15.75" customHeight="1">
      <c r="A54" s="3" t="s">
        <v>283</v>
      </c>
      <c r="B54" s="4" t="s">
        <v>284</v>
      </c>
      <c r="C54" s="4" t="s">
        <v>285</v>
      </c>
      <c r="D54" s="3" t="s">
        <v>99</v>
      </c>
      <c r="E54" s="4"/>
      <c r="F54" s="11" t="s">
        <v>286</v>
      </c>
    </row>
    <row r="55" ht="15.75" customHeight="1">
      <c r="A55" s="3" t="s">
        <v>287</v>
      </c>
      <c r="B55" s="4" t="s">
        <v>288</v>
      </c>
      <c r="C55" s="4" t="s">
        <v>289</v>
      </c>
      <c r="D55" s="3" t="s">
        <v>99</v>
      </c>
      <c r="E55" s="4"/>
      <c r="F55" s="11" t="s">
        <v>290</v>
      </c>
    </row>
    <row r="56" ht="15.75" customHeight="1">
      <c r="A56" s="3" t="s">
        <v>291</v>
      </c>
      <c r="B56" s="4" t="s">
        <v>292</v>
      </c>
      <c r="C56" s="4" t="s">
        <v>293</v>
      </c>
      <c r="D56" s="3" t="s">
        <v>99</v>
      </c>
      <c r="E56" s="4"/>
      <c r="F56" s="11" t="s">
        <v>294</v>
      </c>
    </row>
    <row r="57" ht="15.75" customHeight="1">
      <c r="A57" s="3" t="s">
        <v>295</v>
      </c>
      <c r="B57" s="4" t="s">
        <v>296</v>
      </c>
      <c r="C57" s="4" t="s">
        <v>297</v>
      </c>
      <c r="D57" s="3" t="s">
        <v>99</v>
      </c>
      <c r="E57" s="4"/>
      <c r="F57" s="11" t="s">
        <v>298</v>
      </c>
    </row>
    <row r="58" ht="15.75" customHeight="1">
      <c r="A58" s="3" t="s">
        <v>299</v>
      </c>
      <c r="B58" s="4" t="s">
        <v>292</v>
      </c>
      <c r="C58" s="4" t="s">
        <v>300</v>
      </c>
      <c r="D58" s="3" t="s">
        <v>99</v>
      </c>
      <c r="E58" s="4"/>
      <c r="F58" s="11" t="s">
        <v>301</v>
      </c>
    </row>
    <row r="59" ht="15.75" customHeight="1">
      <c r="A59" s="3" t="s">
        <v>302</v>
      </c>
      <c r="B59" s="4" t="s">
        <v>303</v>
      </c>
      <c r="C59" s="4" t="s">
        <v>304</v>
      </c>
      <c r="D59" s="3" t="s">
        <v>99</v>
      </c>
      <c r="E59" s="4"/>
      <c r="F59" s="11" t="s">
        <v>305</v>
      </c>
    </row>
    <row r="60" ht="15.75" customHeight="1">
      <c r="A60" s="3" t="s">
        <v>306</v>
      </c>
      <c r="B60" s="4" t="s">
        <v>307</v>
      </c>
      <c r="C60" s="4" t="s">
        <v>308</v>
      </c>
      <c r="D60" s="3" t="s">
        <v>99</v>
      </c>
      <c r="E60" s="4"/>
      <c r="F60" s="11" t="s">
        <v>309</v>
      </c>
    </row>
    <row r="61" ht="15.75" hidden="1" customHeight="1">
      <c r="A61" s="3" t="s">
        <v>310</v>
      </c>
      <c r="B61" s="4" t="s">
        <v>307</v>
      </c>
      <c r="C61" s="4" t="s">
        <v>311</v>
      </c>
      <c r="D61" s="3" t="s">
        <v>38</v>
      </c>
      <c r="E61" s="4"/>
      <c r="F61" s="11" t="s">
        <v>312</v>
      </c>
    </row>
    <row r="62" ht="15.75" customHeight="1">
      <c r="A62" s="3" t="s">
        <v>313</v>
      </c>
      <c r="B62" s="4" t="s">
        <v>314</v>
      </c>
      <c r="C62" s="4" t="s">
        <v>315</v>
      </c>
      <c r="D62" s="3" t="s">
        <v>99</v>
      </c>
      <c r="E62" s="4"/>
      <c r="F62" s="11" t="s">
        <v>316</v>
      </c>
    </row>
    <row r="63" ht="15.75" customHeight="1">
      <c r="A63" s="3" t="s">
        <v>317</v>
      </c>
      <c r="B63" s="4" t="s">
        <v>318</v>
      </c>
      <c r="C63" s="4" t="s">
        <v>319</v>
      </c>
      <c r="D63" s="3" t="s">
        <v>99</v>
      </c>
      <c r="E63" s="4"/>
      <c r="F63" s="11" t="s">
        <v>320</v>
      </c>
    </row>
    <row r="64" ht="15.75" customHeight="1">
      <c r="A64" s="3" t="s">
        <v>321</v>
      </c>
      <c r="B64" s="4" t="s">
        <v>322</v>
      </c>
      <c r="C64" s="4" t="s">
        <v>323</v>
      </c>
      <c r="D64" s="3" t="s">
        <v>99</v>
      </c>
      <c r="E64" s="4"/>
      <c r="F64" s="11" t="s">
        <v>324</v>
      </c>
    </row>
    <row r="65" ht="15.75" customHeight="1">
      <c r="A65" s="3" t="s">
        <v>325</v>
      </c>
      <c r="B65" s="4" t="s">
        <v>322</v>
      </c>
      <c r="C65" s="4" t="s">
        <v>326</v>
      </c>
      <c r="D65" s="3" t="s">
        <v>99</v>
      </c>
      <c r="E65" s="4"/>
      <c r="F65" s="11" t="s">
        <v>327</v>
      </c>
    </row>
    <row r="66" ht="15.75" hidden="1" customHeight="1">
      <c r="A66" s="3" t="s">
        <v>328</v>
      </c>
      <c r="B66" s="4" t="s">
        <v>322</v>
      </c>
      <c r="C66" s="4" t="s">
        <v>329</v>
      </c>
      <c r="D66" s="3" t="s">
        <v>38</v>
      </c>
      <c r="E66" s="4"/>
      <c r="F66" s="11" t="s">
        <v>330</v>
      </c>
    </row>
    <row r="67" ht="15.75" customHeight="1">
      <c r="A67" s="3" t="s">
        <v>331</v>
      </c>
      <c r="B67" s="4" t="s">
        <v>322</v>
      </c>
      <c r="C67" s="4" t="s">
        <v>332</v>
      </c>
      <c r="D67" s="3" t="s">
        <v>99</v>
      </c>
      <c r="E67" s="4"/>
      <c r="F67" s="11" t="s">
        <v>333</v>
      </c>
    </row>
    <row r="68" ht="15.75" customHeight="1">
      <c r="A68" s="3" t="s">
        <v>334</v>
      </c>
      <c r="B68" s="4" t="s">
        <v>322</v>
      </c>
      <c r="C68" s="4" t="s">
        <v>335</v>
      </c>
      <c r="D68" s="3" t="s">
        <v>99</v>
      </c>
      <c r="E68" s="4"/>
      <c r="F68" s="11" t="s">
        <v>336</v>
      </c>
    </row>
    <row r="69" ht="15.75" customHeight="1">
      <c r="A69" s="3" t="s">
        <v>337</v>
      </c>
      <c r="B69" s="4" t="s">
        <v>338</v>
      </c>
      <c r="C69" s="4" t="s">
        <v>339</v>
      </c>
      <c r="D69" s="3" t="s">
        <v>99</v>
      </c>
      <c r="E69" s="4"/>
      <c r="F69" s="11" t="s">
        <v>340</v>
      </c>
    </row>
    <row r="70" ht="15.75" hidden="1" customHeight="1">
      <c r="A70" s="3" t="s">
        <v>341</v>
      </c>
      <c r="B70" s="4" t="s">
        <v>342</v>
      </c>
      <c r="C70" s="4" t="s">
        <v>343</v>
      </c>
      <c r="D70" s="3" t="s">
        <v>38</v>
      </c>
      <c r="E70" s="4"/>
      <c r="F70" s="11" t="s">
        <v>344</v>
      </c>
    </row>
    <row r="71" ht="15.75" customHeight="1">
      <c r="A71" s="3" t="s">
        <v>345</v>
      </c>
      <c r="B71" s="4" t="s">
        <v>346</v>
      </c>
      <c r="C71" s="4" t="s">
        <v>190</v>
      </c>
      <c r="D71" s="3" t="s">
        <v>99</v>
      </c>
      <c r="E71" s="4"/>
      <c r="F71" s="11" t="s">
        <v>347</v>
      </c>
    </row>
    <row r="72" ht="15.75" customHeight="1">
      <c r="A72" s="3" t="s">
        <v>348</v>
      </c>
      <c r="B72" s="4" t="s">
        <v>349</v>
      </c>
      <c r="C72" s="4" t="s">
        <v>350</v>
      </c>
      <c r="D72" s="3" t="s">
        <v>99</v>
      </c>
      <c r="E72" s="4"/>
      <c r="F72" s="11" t="s">
        <v>351</v>
      </c>
    </row>
    <row r="73" ht="15.75" customHeight="1">
      <c r="A73" s="3" t="s">
        <v>352</v>
      </c>
      <c r="B73" s="4" t="s">
        <v>353</v>
      </c>
      <c r="C73" s="4" t="s">
        <v>354</v>
      </c>
      <c r="D73" s="3" t="s">
        <v>99</v>
      </c>
      <c r="E73" s="4"/>
      <c r="F73" s="11" t="s">
        <v>355</v>
      </c>
    </row>
    <row r="74" ht="15.75" hidden="1" customHeight="1">
      <c r="A74" s="3" t="s">
        <v>356</v>
      </c>
      <c r="B74" s="4" t="s">
        <v>357</v>
      </c>
      <c r="C74" s="4" t="s">
        <v>190</v>
      </c>
      <c r="D74" s="3" t="s">
        <v>38</v>
      </c>
      <c r="E74" s="4"/>
      <c r="F74" s="11" t="s">
        <v>358</v>
      </c>
    </row>
    <row r="75" ht="15.75" customHeight="1">
      <c r="A75" s="3" t="s">
        <v>359</v>
      </c>
      <c r="B75" s="4" t="s">
        <v>360</v>
      </c>
      <c r="C75" s="4" t="s">
        <v>361</v>
      </c>
      <c r="D75" s="3" t="s">
        <v>99</v>
      </c>
      <c r="E75" s="4"/>
      <c r="F75" s="11" t="s">
        <v>362</v>
      </c>
    </row>
    <row r="76" ht="15.75" hidden="1" customHeight="1">
      <c r="A76" s="3" t="s">
        <v>363</v>
      </c>
      <c r="B76" s="4" t="s">
        <v>364</v>
      </c>
      <c r="C76" s="4" t="s">
        <v>365</v>
      </c>
      <c r="D76" s="3" t="s">
        <v>38</v>
      </c>
      <c r="E76" s="4"/>
      <c r="F76" s="11" t="s">
        <v>366</v>
      </c>
    </row>
    <row r="77" ht="15.75" hidden="1" customHeight="1">
      <c r="A77" s="3" t="s">
        <v>367</v>
      </c>
      <c r="B77" s="4" t="s">
        <v>368</v>
      </c>
      <c r="C77" s="4" t="s">
        <v>365</v>
      </c>
      <c r="D77" s="3" t="s">
        <v>38</v>
      </c>
      <c r="E77" s="4"/>
      <c r="F77" s="11" t="s">
        <v>369</v>
      </c>
    </row>
    <row r="78" ht="15.75" hidden="1" customHeight="1">
      <c r="A78" s="3" t="s">
        <v>370</v>
      </c>
      <c r="B78" s="4" t="s">
        <v>371</v>
      </c>
      <c r="C78" s="4" t="s">
        <v>372</v>
      </c>
      <c r="D78" s="3" t="s">
        <v>38</v>
      </c>
      <c r="E78" s="4"/>
      <c r="F78" s="11" t="s">
        <v>373</v>
      </c>
    </row>
    <row r="79" ht="15.75" hidden="1" customHeight="1">
      <c r="A79" s="3" t="s">
        <v>374</v>
      </c>
      <c r="B79" s="4" t="s">
        <v>371</v>
      </c>
      <c r="C79" s="4" t="s">
        <v>311</v>
      </c>
      <c r="D79" s="3" t="s">
        <v>38</v>
      </c>
      <c r="E79" s="4"/>
      <c r="F79" s="11" t="s">
        <v>375</v>
      </c>
    </row>
    <row r="80" ht="15.75" customHeight="1">
      <c r="A80" s="3" t="s">
        <v>376</v>
      </c>
      <c r="B80" s="4" t="s">
        <v>377</v>
      </c>
      <c r="C80" s="4" t="s">
        <v>378</v>
      </c>
      <c r="D80" s="3" t="s">
        <v>99</v>
      </c>
      <c r="E80" s="4"/>
      <c r="F80" s="11" t="s">
        <v>379</v>
      </c>
    </row>
    <row r="81" ht="15.75" customHeight="1">
      <c r="A81" s="3" t="s">
        <v>380</v>
      </c>
      <c r="B81" s="4" t="s">
        <v>381</v>
      </c>
      <c r="C81" s="4" t="s">
        <v>382</v>
      </c>
      <c r="D81" s="3" t="s">
        <v>99</v>
      </c>
      <c r="E81" s="4"/>
      <c r="F81" s="11" t="s">
        <v>383</v>
      </c>
    </row>
    <row r="82" ht="15.75" customHeight="1">
      <c r="A82" s="3" t="s">
        <v>384</v>
      </c>
      <c r="B82" s="4" t="s">
        <v>385</v>
      </c>
      <c r="C82" s="4" t="s">
        <v>386</v>
      </c>
      <c r="D82" s="3" t="s">
        <v>99</v>
      </c>
      <c r="E82" s="4"/>
      <c r="F82" s="11" t="s">
        <v>387</v>
      </c>
    </row>
    <row r="83" ht="15.75" hidden="1" customHeight="1">
      <c r="A83" s="3" t="s">
        <v>388</v>
      </c>
      <c r="B83" s="4" t="s">
        <v>389</v>
      </c>
      <c r="C83" s="4" t="s">
        <v>390</v>
      </c>
      <c r="D83" s="3" t="s">
        <v>38</v>
      </c>
      <c r="E83" s="4"/>
      <c r="F83" s="11" t="s">
        <v>391</v>
      </c>
    </row>
    <row r="84" ht="15.75" customHeight="1">
      <c r="A84" s="3" t="s">
        <v>392</v>
      </c>
      <c r="B84" s="4" t="s">
        <v>393</v>
      </c>
      <c r="C84" s="4" t="s">
        <v>394</v>
      </c>
      <c r="D84" s="3" t="s">
        <v>99</v>
      </c>
      <c r="E84" s="4"/>
      <c r="F84" s="11" t="s">
        <v>395</v>
      </c>
    </row>
    <row r="85" ht="15.75" hidden="1" customHeight="1">
      <c r="A85" s="3" t="s">
        <v>396</v>
      </c>
      <c r="B85" s="4" t="s">
        <v>393</v>
      </c>
      <c r="C85" s="4" t="s">
        <v>397</v>
      </c>
      <c r="D85" s="3" t="s">
        <v>38</v>
      </c>
      <c r="E85" s="4"/>
      <c r="F85" s="11" t="s">
        <v>398</v>
      </c>
    </row>
    <row r="86" ht="15.75" customHeight="1">
      <c r="A86" s="3" t="s">
        <v>399</v>
      </c>
      <c r="B86" s="4" t="s">
        <v>400</v>
      </c>
      <c r="C86" s="4" t="s">
        <v>401</v>
      </c>
      <c r="D86" s="3" t="s">
        <v>99</v>
      </c>
      <c r="E86" s="4"/>
      <c r="F86" s="11" t="s">
        <v>402</v>
      </c>
    </row>
    <row r="87" ht="15.75" customHeight="1">
      <c r="A87" s="3" t="s">
        <v>403</v>
      </c>
      <c r="B87" s="4" t="s">
        <v>404</v>
      </c>
      <c r="C87" s="4" t="s">
        <v>405</v>
      </c>
      <c r="D87" s="3" t="s">
        <v>99</v>
      </c>
      <c r="E87" s="4"/>
      <c r="F87" s="11" t="s">
        <v>406</v>
      </c>
    </row>
    <row r="88" ht="15.75" customHeight="1">
      <c r="A88" s="3" t="s">
        <v>407</v>
      </c>
      <c r="B88" s="4" t="s">
        <v>408</v>
      </c>
      <c r="C88" s="4" t="s">
        <v>409</v>
      </c>
      <c r="D88" s="3" t="s">
        <v>99</v>
      </c>
      <c r="E88" s="4"/>
      <c r="F88" s="11" t="s">
        <v>410</v>
      </c>
    </row>
    <row r="89" ht="15.75" customHeight="1">
      <c r="A89" s="3" t="s">
        <v>411</v>
      </c>
      <c r="B89" s="4" t="s">
        <v>408</v>
      </c>
      <c r="C89" s="4" t="s">
        <v>412</v>
      </c>
      <c r="D89" s="3" t="s">
        <v>99</v>
      </c>
      <c r="E89" s="4"/>
      <c r="F89" s="11" t="s">
        <v>413</v>
      </c>
    </row>
    <row r="90" ht="15.75" customHeight="1">
      <c r="A90" s="3" t="s">
        <v>414</v>
      </c>
      <c r="B90" s="4" t="s">
        <v>408</v>
      </c>
      <c r="C90" s="4" t="s">
        <v>415</v>
      </c>
      <c r="D90" s="3" t="s">
        <v>99</v>
      </c>
      <c r="E90" s="4"/>
      <c r="F90" s="11" t="s">
        <v>416</v>
      </c>
    </row>
    <row r="91" ht="15.75" customHeight="1">
      <c r="A91" s="3" t="s">
        <v>417</v>
      </c>
      <c r="B91" s="4" t="s">
        <v>418</v>
      </c>
      <c r="C91" s="4" t="s">
        <v>419</v>
      </c>
      <c r="D91" s="3" t="s">
        <v>99</v>
      </c>
      <c r="E91" s="4"/>
      <c r="F91" s="11" t="s">
        <v>420</v>
      </c>
    </row>
    <row r="92" ht="15.75" customHeight="1">
      <c r="A92" s="3" t="s">
        <v>421</v>
      </c>
      <c r="B92" s="4" t="s">
        <v>422</v>
      </c>
      <c r="C92" s="4" t="s">
        <v>423</v>
      </c>
      <c r="D92" s="3" t="s">
        <v>99</v>
      </c>
      <c r="E92" s="4"/>
      <c r="F92" s="11" t="s">
        <v>424</v>
      </c>
    </row>
    <row r="93" ht="15.75" customHeight="1">
      <c r="A93" s="3" t="s">
        <v>425</v>
      </c>
      <c r="B93" s="4" t="s">
        <v>426</v>
      </c>
      <c r="C93" s="4" t="s">
        <v>427</v>
      </c>
      <c r="D93" s="3" t="s">
        <v>99</v>
      </c>
      <c r="E93" s="4"/>
      <c r="F93" s="11" t="s">
        <v>428</v>
      </c>
    </row>
    <row r="94" ht="15.75" customHeight="1">
      <c r="A94" s="3" t="s">
        <v>429</v>
      </c>
      <c r="B94" s="4" t="s">
        <v>430</v>
      </c>
      <c r="C94" s="4" t="s">
        <v>431</v>
      </c>
      <c r="D94" s="3" t="s">
        <v>99</v>
      </c>
      <c r="E94" s="4"/>
      <c r="F94" s="11" t="s">
        <v>432</v>
      </c>
    </row>
    <row r="95" ht="15.75" hidden="1" customHeight="1">
      <c r="A95" s="3" t="s">
        <v>433</v>
      </c>
      <c r="B95" s="4" t="s">
        <v>434</v>
      </c>
      <c r="C95" s="4" t="s">
        <v>435</v>
      </c>
      <c r="D95" s="3" t="s">
        <v>38</v>
      </c>
      <c r="E95" s="4"/>
      <c r="F95" s="11" t="s">
        <v>436</v>
      </c>
    </row>
    <row r="96" ht="15.75" hidden="1" customHeight="1">
      <c r="A96" s="3" t="s">
        <v>437</v>
      </c>
      <c r="B96" s="4" t="s">
        <v>438</v>
      </c>
      <c r="C96" s="4" t="s">
        <v>190</v>
      </c>
      <c r="D96" s="3" t="s">
        <v>38</v>
      </c>
      <c r="E96" s="4"/>
      <c r="F96" s="11" t="s">
        <v>439</v>
      </c>
    </row>
    <row r="97" ht="15.75" customHeight="1">
      <c r="A97" s="3" t="s">
        <v>440</v>
      </c>
      <c r="B97" s="4" t="s">
        <v>441</v>
      </c>
      <c r="C97" s="4" t="s">
        <v>442</v>
      </c>
      <c r="D97" s="3" t="s">
        <v>99</v>
      </c>
      <c r="E97" s="4"/>
      <c r="F97" s="11" t="s">
        <v>443</v>
      </c>
    </row>
    <row r="98" ht="15.75" customHeight="1">
      <c r="A98" s="3" t="s">
        <v>444</v>
      </c>
      <c r="B98" s="4" t="s">
        <v>445</v>
      </c>
      <c r="C98" s="4" t="s">
        <v>446</v>
      </c>
      <c r="D98" s="3" t="s">
        <v>99</v>
      </c>
      <c r="E98" s="4"/>
      <c r="F98" s="11" t="s">
        <v>447</v>
      </c>
    </row>
    <row r="99" ht="15.75" customHeight="1">
      <c r="A99" s="3" t="s">
        <v>448</v>
      </c>
      <c r="B99" s="4" t="s">
        <v>449</v>
      </c>
      <c r="C99" s="4" t="s">
        <v>450</v>
      </c>
      <c r="D99" s="3" t="s">
        <v>99</v>
      </c>
      <c r="E99" s="4"/>
      <c r="F99" s="11" t="s">
        <v>451</v>
      </c>
    </row>
    <row r="100" ht="15.75" customHeight="1">
      <c r="A100" s="3" t="s">
        <v>452</v>
      </c>
      <c r="B100" s="4" t="s">
        <v>453</v>
      </c>
      <c r="C100" s="4" t="s">
        <v>454</v>
      </c>
      <c r="D100" s="3" t="s">
        <v>99</v>
      </c>
      <c r="E100" s="4"/>
      <c r="F100" s="11" t="s">
        <v>455</v>
      </c>
    </row>
    <row r="101" ht="15.75" customHeight="1">
      <c r="A101" s="3" t="s">
        <v>456</v>
      </c>
      <c r="B101" s="4" t="s">
        <v>457</v>
      </c>
      <c r="C101" s="4" t="s">
        <v>458</v>
      </c>
      <c r="D101" s="3" t="s">
        <v>99</v>
      </c>
      <c r="E101" s="4"/>
      <c r="F101" s="11" t="s">
        <v>459</v>
      </c>
    </row>
    <row r="102" ht="15.75" customHeight="1">
      <c r="A102" s="3" t="s">
        <v>460</v>
      </c>
      <c r="B102" s="4" t="s">
        <v>461</v>
      </c>
      <c r="C102" s="4" t="s">
        <v>462</v>
      </c>
      <c r="D102" s="3" t="s">
        <v>99</v>
      </c>
      <c r="E102" s="4"/>
      <c r="F102" s="11" t="s">
        <v>463</v>
      </c>
    </row>
    <row r="103" ht="15.75" hidden="1" customHeight="1">
      <c r="A103" s="3" t="s">
        <v>464</v>
      </c>
      <c r="B103" s="4" t="s">
        <v>465</v>
      </c>
      <c r="C103" s="4" t="s">
        <v>190</v>
      </c>
      <c r="D103" s="3" t="s">
        <v>38</v>
      </c>
      <c r="E103" s="4"/>
      <c r="F103" s="11" t="s">
        <v>466</v>
      </c>
    </row>
    <row r="104" ht="15.75" hidden="1" customHeight="1">
      <c r="A104" s="3" t="s">
        <v>467</v>
      </c>
      <c r="B104" s="4" t="s">
        <v>468</v>
      </c>
      <c r="C104" s="4" t="s">
        <v>469</v>
      </c>
      <c r="D104" s="3" t="s">
        <v>38</v>
      </c>
      <c r="E104" s="4"/>
      <c r="F104" s="11" t="s">
        <v>470</v>
      </c>
    </row>
    <row r="105" ht="15.75" customHeight="1">
      <c r="A105" s="3" t="s">
        <v>471</v>
      </c>
      <c r="B105" s="4" t="s">
        <v>472</v>
      </c>
      <c r="C105" s="4" t="s">
        <v>473</v>
      </c>
      <c r="D105" s="3" t="s">
        <v>99</v>
      </c>
      <c r="E105" s="4"/>
      <c r="F105" s="11" t="s">
        <v>474</v>
      </c>
    </row>
    <row r="106" ht="15.75" hidden="1" customHeight="1">
      <c r="A106" s="3" t="s">
        <v>475</v>
      </c>
      <c r="B106" s="4" t="s">
        <v>476</v>
      </c>
      <c r="C106" s="4" t="s">
        <v>477</v>
      </c>
      <c r="D106" s="3" t="s">
        <v>38</v>
      </c>
      <c r="E106" s="4"/>
      <c r="F106" s="11" t="s">
        <v>478</v>
      </c>
    </row>
    <row r="107" ht="15.75" hidden="1" customHeight="1">
      <c r="A107" s="3" t="s">
        <v>479</v>
      </c>
      <c r="B107" s="4" t="s">
        <v>480</v>
      </c>
      <c r="C107" s="4" t="s">
        <v>190</v>
      </c>
      <c r="D107" s="3" t="s">
        <v>38</v>
      </c>
      <c r="E107" s="4"/>
      <c r="F107" s="11" t="s">
        <v>481</v>
      </c>
    </row>
    <row r="108" ht="15.75" customHeight="1">
      <c r="A108" s="3" t="s">
        <v>482</v>
      </c>
      <c r="B108" s="4" t="s">
        <v>483</v>
      </c>
      <c r="C108" s="4" t="s">
        <v>484</v>
      </c>
      <c r="D108" s="3" t="s">
        <v>99</v>
      </c>
      <c r="E108" s="4"/>
      <c r="F108" s="11" t="s">
        <v>485</v>
      </c>
    </row>
    <row r="109" ht="15.75" customHeight="1">
      <c r="A109" s="3" t="s">
        <v>486</v>
      </c>
      <c r="B109" s="4" t="s">
        <v>487</v>
      </c>
      <c r="C109" s="4" t="s">
        <v>488</v>
      </c>
      <c r="D109" s="3" t="s">
        <v>99</v>
      </c>
      <c r="E109" s="4"/>
      <c r="F109" s="11" t="s">
        <v>489</v>
      </c>
    </row>
    <row r="110" ht="15.75" customHeight="1">
      <c r="A110" s="3" t="s">
        <v>490</v>
      </c>
      <c r="B110" s="4" t="s">
        <v>491</v>
      </c>
      <c r="C110" s="4" t="s">
        <v>492</v>
      </c>
      <c r="D110" s="3" t="s">
        <v>99</v>
      </c>
      <c r="E110" s="4"/>
      <c r="F110" s="11" t="s">
        <v>493</v>
      </c>
    </row>
    <row r="111" ht="15.75" hidden="1" customHeight="1">
      <c r="A111" s="3" t="s">
        <v>494</v>
      </c>
      <c r="B111" s="4" t="s">
        <v>495</v>
      </c>
      <c r="C111" s="4" t="s">
        <v>469</v>
      </c>
      <c r="D111" s="3" t="s">
        <v>38</v>
      </c>
      <c r="E111" s="4"/>
      <c r="F111" s="11" t="s">
        <v>496</v>
      </c>
    </row>
    <row r="112" ht="15.75" customHeight="1">
      <c r="A112" s="3" t="s">
        <v>497</v>
      </c>
      <c r="B112" s="4" t="s">
        <v>498</v>
      </c>
      <c r="C112" s="4" t="s">
        <v>499</v>
      </c>
      <c r="D112" s="3" t="s">
        <v>99</v>
      </c>
      <c r="E112" s="4"/>
      <c r="F112" s="11" t="s">
        <v>500</v>
      </c>
    </row>
    <row r="113" ht="15.75" hidden="1" customHeight="1">
      <c r="A113" s="3" t="s">
        <v>501</v>
      </c>
      <c r="B113" s="4" t="s">
        <v>502</v>
      </c>
      <c r="C113" s="4" t="s">
        <v>311</v>
      </c>
      <c r="D113" s="3" t="s">
        <v>38</v>
      </c>
      <c r="E113" s="4"/>
      <c r="F113" s="11" t="s">
        <v>503</v>
      </c>
    </row>
    <row r="114" ht="15.75" customHeight="1">
      <c r="A114" s="3" t="s">
        <v>504</v>
      </c>
      <c r="B114" s="4" t="s">
        <v>505</v>
      </c>
      <c r="C114" s="4" t="s">
        <v>506</v>
      </c>
      <c r="D114" s="3" t="s">
        <v>99</v>
      </c>
      <c r="E114" s="4"/>
      <c r="F114" s="11" t="s">
        <v>507</v>
      </c>
    </row>
    <row r="115" ht="15.75" customHeight="1">
      <c r="A115" s="3" t="s">
        <v>508</v>
      </c>
      <c r="B115" s="4" t="s">
        <v>509</v>
      </c>
      <c r="C115" s="4" t="s">
        <v>510</v>
      </c>
      <c r="D115" s="3" t="s">
        <v>99</v>
      </c>
      <c r="E115" s="4"/>
      <c r="F115" s="11" t="s">
        <v>511</v>
      </c>
    </row>
    <row r="116" ht="15.75" hidden="1" customHeight="1">
      <c r="A116" s="3" t="s">
        <v>512</v>
      </c>
      <c r="B116" s="4" t="s">
        <v>513</v>
      </c>
      <c r="C116" s="4" t="s">
        <v>311</v>
      </c>
      <c r="D116" s="3" t="s">
        <v>38</v>
      </c>
      <c r="E116" s="4"/>
      <c r="F116" s="11" t="s">
        <v>514</v>
      </c>
    </row>
    <row r="117" ht="15.75" customHeight="1">
      <c r="A117" s="3" t="s">
        <v>515</v>
      </c>
      <c r="B117" s="4" t="s">
        <v>516</v>
      </c>
      <c r="C117" s="4" t="s">
        <v>517</v>
      </c>
      <c r="D117" s="3" t="s">
        <v>99</v>
      </c>
      <c r="E117" s="4"/>
      <c r="F117" s="11" t="s">
        <v>518</v>
      </c>
    </row>
    <row r="118" ht="15.75" customHeight="1">
      <c r="A118" s="3" t="s">
        <v>519</v>
      </c>
      <c r="B118" s="4" t="s">
        <v>520</v>
      </c>
      <c r="C118" s="4" t="s">
        <v>521</v>
      </c>
      <c r="D118" s="3" t="s">
        <v>99</v>
      </c>
      <c r="E118" s="4"/>
      <c r="F118" s="11" t="s">
        <v>522</v>
      </c>
    </row>
    <row r="119" ht="15.75" customHeight="1">
      <c r="A119" s="3" t="s">
        <v>523</v>
      </c>
      <c r="B119" s="4" t="s">
        <v>524</v>
      </c>
      <c r="C119" s="4" t="s">
        <v>525</v>
      </c>
      <c r="D119" s="3" t="s">
        <v>99</v>
      </c>
      <c r="E119" s="4"/>
      <c r="F119" s="11" t="s">
        <v>526</v>
      </c>
    </row>
    <row r="120" ht="15.75" customHeight="1">
      <c r="A120" s="3" t="s">
        <v>527</v>
      </c>
      <c r="B120" s="4" t="s">
        <v>528</v>
      </c>
      <c r="C120" s="4" t="s">
        <v>529</v>
      </c>
      <c r="D120" s="3" t="s">
        <v>99</v>
      </c>
      <c r="E120" s="4"/>
      <c r="F120" s="11" t="s">
        <v>530</v>
      </c>
    </row>
    <row r="121" ht="15.75" customHeight="1">
      <c r="A121" s="3" t="s">
        <v>531</v>
      </c>
      <c r="B121" s="4" t="s">
        <v>532</v>
      </c>
      <c r="C121" s="4" t="s">
        <v>533</v>
      </c>
      <c r="D121" s="3" t="s">
        <v>99</v>
      </c>
      <c r="E121" s="4"/>
      <c r="F121" s="11" t="s">
        <v>534</v>
      </c>
    </row>
    <row r="122" ht="15.75" customHeight="1">
      <c r="A122" s="3" t="s">
        <v>535</v>
      </c>
      <c r="B122" s="4" t="s">
        <v>536</v>
      </c>
      <c r="C122" s="4" t="s">
        <v>537</v>
      </c>
      <c r="D122" s="3" t="s">
        <v>99</v>
      </c>
      <c r="E122" s="4"/>
      <c r="F122" s="11" t="s">
        <v>538</v>
      </c>
    </row>
    <row r="123" ht="15.75" customHeight="1">
      <c r="A123" s="3" t="s">
        <v>539</v>
      </c>
      <c r="B123" s="4" t="s">
        <v>540</v>
      </c>
      <c r="C123" s="4" t="s">
        <v>541</v>
      </c>
      <c r="D123" s="3" t="s">
        <v>99</v>
      </c>
      <c r="E123" s="4"/>
      <c r="F123" s="11" t="s">
        <v>542</v>
      </c>
    </row>
    <row r="124" ht="15.75" hidden="1" customHeight="1">
      <c r="A124" s="3" t="s">
        <v>543</v>
      </c>
      <c r="B124" s="4" t="s">
        <v>544</v>
      </c>
      <c r="C124" s="4" t="s">
        <v>190</v>
      </c>
      <c r="D124" s="3" t="s">
        <v>38</v>
      </c>
      <c r="E124" s="4"/>
      <c r="F124" s="11" t="s">
        <v>545</v>
      </c>
    </row>
    <row r="125" ht="15.75" hidden="1" customHeight="1">
      <c r="A125" s="3" t="s">
        <v>546</v>
      </c>
      <c r="B125" s="4" t="s">
        <v>547</v>
      </c>
      <c r="C125" s="4" t="s">
        <v>190</v>
      </c>
      <c r="D125" s="3" t="s">
        <v>38</v>
      </c>
      <c r="E125" s="4"/>
      <c r="F125" s="11" t="s">
        <v>548</v>
      </c>
    </row>
    <row r="126" ht="15.75" customHeight="1">
      <c r="A126" s="3" t="s">
        <v>549</v>
      </c>
      <c r="B126" s="4" t="s">
        <v>550</v>
      </c>
      <c r="C126" s="4" t="s">
        <v>551</v>
      </c>
      <c r="D126" s="3" t="s">
        <v>99</v>
      </c>
      <c r="E126" s="4"/>
      <c r="F126" s="11" t="s">
        <v>552</v>
      </c>
    </row>
    <row r="127" ht="15.75" customHeight="1">
      <c r="A127" s="3" t="s">
        <v>553</v>
      </c>
      <c r="B127" s="4" t="s">
        <v>554</v>
      </c>
      <c r="C127" s="4" t="s">
        <v>555</v>
      </c>
      <c r="D127" s="3" t="s">
        <v>99</v>
      </c>
      <c r="E127" s="4"/>
      <c r="F127" s="11" t="s">
        <v>556</v>
      </c>
    </row>
    <row r="128" ht="15.75" hidden="1" customHeight="1">
      <c r="A128" s="3" t="s">
        <v>557</v>
      </c>
      <c r="B128" s="4" t="s">
        <v>558</v>
      </c>
      <c r="C128" s="4" t="s">
        <v>559</v>
      </c>
      <c r="D128" s="3" t="s">
        <v>38</v>
      </c>
      <c r="E128" s="4"/>
      <c r="F128" s="11" t="s">
        <v>560</v>
      </c>
    </row>
    <row r="129" ht="15.75" customHeight="1">
      <c r="A129" s="3" t="s">
        <v>561</v>
      </c>
      <c r="B129" s="4" t="s">
        <v>558</v>
      </c>
      <c r="C129" s="4" t="s">
        <v>562</v>
      </c>
      <c r="D129" s="3" t="s">
        <v>99</v>
      </c>
      <c r="E129" s="4"/>
      <c r="F129" s="11" t="s">
        <v>563</v>
      </c>
    </row>
    <row r="130" ht="15.75" customHeight="1">
      <c r="A130" s="3" t="s">
        <v>564</v>
      </c>
      <c r="B130" s="4" t="s">
        <v>565</v>
      </c>
      <c r="C130" s="4" t="s">
        <v>566</v>
      </c>
      <c r="D130" s="3" t="s">
        <v>99</v>
      </c>
      <c r="E130" s="4"/>
      <c r="F130" s="11" t="s">
        <v>567</v>
      </c>
    </row>
    <row r="131" ht="15.75" customHeight="1">
      <c r="A131" s="3" t="s">
        <v>568</v>
      </c>
      <c r="B131" s="4" t="s">
        <v>569</v>
      </c>
      <c r="C131" s="4" t="s">
        <v>570</v>
      </c>
      <c r="D131" s="3" t="s">
        <v>99</v>
      </c>
      <c r="E131" s="4"/>
      <c r="F131" s="11" t="s">
        <v>571</v>
      </c>
    </row>
    <row r="132" ht="15.75" customHeight="1">
      <c r="A132" s="3" t="s">
        <v>572</v>
      </c>
      <c r="B132" s="4" t="s">
        <v>573</v>
      </c>
      <c r="C132" s="4" t="s">
        <v>574</v>
      </c>
      <c r="D132" s="3" t="s">
        <v>99</v>
      </c>
      <c r="E132" s="4"/>
      <c r="F132" s="11" t="s">
        <v>575</v>
      </c>
    </row>
    <row r="133" ht="15.75" customHeight="1">
      <c r="A133" s="3" t="s">
        <v>576</v>
      </c>
      <c r="B133" s="4" t="s">
        <v>577</v>
      </c>
      <c r="C133" s="4" t="s">
        <v>578</v>
      </c>
      <c r="D133" s="3" t="s">
        <v>99</v>
      </c>
      <c r="E133" s="4"/>
      <c r="F133" s="11" t="s">
        <v>579</v>
      </c>
    </row>
    <row r="134" ht="15.75" customHeight="1">
      <c r="A134" s="3" t="s">
        <v>580</v>
      </c>
      <c r="B134" s="4" t="s">
        <v>581</v>
      </c>
      <c r="C134" s="4" t="s">
        <v>233</v>
      </c>
      <c r="D134" s="3" t="s">
        <v>99</v>
      </c>
      <c r="E134" s="4"/>
      <c r="F134" s="11" t="s">
        <v>582</v>
      </c>
    </row>
    <row r="135" ht="15.75" hidden="1" customHeight="1">
      <c r="A135" s="3" t="s">
        <v>583</v>
      </c>
      <c r="B135" s="4" t="s">
        <v>584</v>
      </c>
      <c r="C135" s="4" t="s">
        <v>585</v>
      </c>
      <c r="D135" s="3" t="s">
        <v>38</v>
      </c>
      <c r="E135" s="4"/>
      <c r="F135" s="11" t="s">
        <v>586</v>
      </c>
    </row>
    <row r="136" ht="15.75" customHeight="1">
      <c r="A136" s="3" t="s">
        <v>587</v>
      </c>
      <c r="B136" s="4" t="s">
        <v>588</v>
      </c>
      <c r="C136" s="4" t="s">
        <v>229</v>
      </c>
      <c r="D136" s="3" t="s">
        <v>99</v>
      </c>
      <c r="E136" s="4"/>
      <c r="F136" s="11" t="s">
        <v>589</v>
      </c>
    </row>
    <row r="137" ht="15.75" customHeight="1">
      <c r="A137" s="3" t="s">
        <v>590</v>
      </c>
      <c r="B137" s="4" t="s">
        <v>591</v>
      </c>
      <c r="C137" s="4" t="s">
        <v>592</v>
      </c>
      <c r="D137" s="3" t="s">
        <v>99</v>
      </c>
      <c r="E137" s="4"/>
      <c r="F137" s="11" t="s">
        <v>593</v>
      </c>
    </row>
    <row r="138" ht="15.75" hidden="1" customHeight="1">
      <c r="A138" s="3" t="s">
        <v>594</v>
      </c>
      <c r="B138" s="4" t="s">
        <v>591</v>
      </c>
      <c r="C138" s="4" t="s">
        <v>595</v>
      </c>
      <c r="D138" s="3" t="s">
        <v>38</v>
      </c>
      <c r="E138" s="4"/>
      <c r="F138" s="11" t="s">
        <v>596</v>
      </c>
    </row>
    <row r="139" ht="15.75" customHeight="1">
      <c r="A139" s="3" t="s">
        <v>597</v>
      </c>
      <c r="B139" s="4" t="s">
        <v>598</v>
      </c>
      <c r="C139" s="4" t="s">
        <v>599</v>
      </c>
      <c r="D139" s="3" t="s">
        <v>99</v>
      </c>
      <c r="E139" s="4"/>
      <c r="F139" s="11" t="s">
        <v>600</v>
      </c>
    </row>
    <row r="140" ht="15.75" customHeight="1">
      <c r="A140" s="3" t="s">
        <v>601</v>
      </c>
      <c r="B140" s="4" t="s">
        <v>602</v>
      </c>
      <c r="C140" s="4" t="s">
        <v>603</v>
      </c>
      <c r="D140" s="3" t="s">
        <v>99</v>
      </c>
      <c r="E140" s="4"/>
      <c r="F140" s="11" t="s">
        <v>604</v>
      </c>
    </row>
    <row r="141" ht="15.75" hidden="1" customHeight="1">
      <c r="A141" s="3" t="s">
        <v>605</v>
      </c>
      <c r="B141" s="4" t="s">
        <v>606</v>
      </c>
      <c r="C141" s="4" t="s">
        <v>607</v>
      </c>
      <c r="D141" s="3" t="s">
        <v>38</v>
      </c>
      <c r="E141" s="4"/>
      <c r="F141" s="11" t="s">
        <v>608</v>
      </c>
    </row>
    <row r="142" ht="15.75" customHeight="1">
      <c r="A142" s="3" t="s">
        <v>609</v>
      </c>
      <c r="B142" s="4" t="s">
        <v>610</v>
      </c>
      <c r="C142" s="4" t="s">
        <v>607</v>
      </c>
      <c r="D142" s="3" t="s">
        <v>99</v>
      </c>
      <c r="E142" s="4"/>
      <c r="F142" s="11" t="s">
        <v>611</v>
      </c>
    </row>
    <row r="143" ht="15.75" hidden="1" customHeight="1">
      <c r="A143" s="3" t="s">
        <v>612</v>
      </c>
      <c r="B143" s="4" t="s">
        <v>606</v>
      </c>
      <c r="C143" s="4" t="s">
        <v>613</v>
      </c>
      <c r="D143" s="3" t="s">
        <v>38</v>
      </c>
      <c r="E143" s="4"/>
      <c r="F143" s="11" t="s">
        <v>614</v>
      </c>
    </row>
    <row r="144" ht="15.75" customHeight="1">
      <c r="A144" s="3" t="s">
        <v>615</v>
      </c>
      <c r="B144" s="4" t="s">
        <v>616</v>
      </c>
      <c r="C144" s="4" t="s">
        <v>617</v>
      </c>
      <c r="D144" s="3" t="s">
        <v>99</v>
      </c>
      <c r="E144" s="4"/>
      <c r="F144" s="11" t="s">
        <v>618</v>
      </c>
    </row>
    <row r="145" ht="15.75" customHeight="1">
      <c r="A145" s="3" t="s">
        <v>619</v>
      </c>
      <c r="B145" s="4" t="s">
        <v>620</v>
      </c>
      <c r="C145" s="4" t="s">
        <v>621</v>
      </c>
      <c r="D145" s="3" t="s">
        <v>99</v>
      </c>
      <c r="E145" s="4"/>
      <c r="F145" s="11" t="s">
        <v>622</v>
      </c>
    </row>
    <row r="146" ht="15.75" hidden="1" customHeight="1">
      <c r="A146" s="3" t="s">
        <v>623</v>
      </c>
      <c r="B146" s="4" t="s">
        <v>624</v>
      </c>
      <c r="C146" s="4" t="s">
        <v>625</v>
      </c>
      <c r="D146" s="3" t="s">
        <v>38</v>
      </c>
      <c r="E146" s="4"/>
      <c r="F146" s="11" t="s">
        <v>626</v>
      </c>
    </row>
    <row r="147" ht="15.75" customHeight="1">
      <c r="A147" s="3" t="s">
        <v>627</v>
      </c>
      <c r="B147" s="4" t="s">
        <v>628</v>
      </c>
      <c r="C147" s="4" t="s">
        <v>629</v>
      </c>
      <c r="D147" s="3" t="s">
        <v>99</v>
      </c>
      <c r="E147" s="4"/>
      <c r="F147" s="11" t="s">
        <v>630</v>
      </c>
    </row>
    <row r="148" ht="15.75" customHeight="1">
      <c r="A148" s="3" t="s">
        <v>631</v>
      </c>
      <c r="B148" s="4" t="s">
        <v>632</v>
      </c>
      <c r="C148" s="4" t="s">
        <v>633</v>
      </c>
      <c r="D148" s="3" t="s">
        <v>99</v>
      </c>
      <c r="E148" s="4"/>
      <c r="F148" s="11" t="s">
        <v>634</v>
      </c>
    </row>
    <row r="149" ht="15.75" hidden="1" customHeight="1">
      <c r="A149" s="3" t="s">
        <v>635</v>
      </c>
      <c r="B149" s="4" t="s">
        <v>636</v>
      </c>
      <c r="C149" s="4" t="s">
        <v>637</v>
      </c>
      <c r="D149" s="3" t="s">
        <v>38</v>
      </c>
      <c r="E149" s="4"/>
      <c r="F149" s="11" t="s">
        <v>638</v>
      </c>
    </row>
    <row r="150" ht="15.75" customHeight="1">
      <c r="A150" s="3" t="s">
        <v>639</v>
      </c>
      <c r="B150" s="4" t="s">
        <v>640</v>
      </c>
      <c r="C150" s="4" t="s">
        <v>641</v>
      </c>
      <c r="D150" s="3" t="s">
        <v>99</v>
      </c>
      <c r="E150" s="4"/>
      <c r="F150" s="11" t="s">
        <v>642</v>
      </c>
    </row>
    <row r="151" ht="15.75" customHeight="1">
      <c r="A151" s="3" t="s">
        <v>643</v>
      </c>
      <c r="B151" s="4" t="s">
        <v>644</v>
      </c>
      <c r="C151" s="4" t="s">
        <v>645</v>
      </c>
      <c r="D151" s="3" t="s">
        <v>99</v>
      </c>
      <c r="E151" s="4"/>
      <c r="F151" s="11" t="s">
        <v>646</v>
      </c>
    </row>
    <row r="152" ht="15.75" customHeight="1">
      <c r="A152" s="3" t="s">
        <v>647</v>
      </c>
      <c r="B152" s="4" t="s">
        <v>648</v>
      </c>
      <c r="C152" s="4" t="s">
        <v>649</v>
      </c>
      <c r="D152" s="3" t="s">
        <v>99</v>
      </c>
      <c r="E152" s="4"/>
      <c r="F152" s="11" t="s">
        <v>650</v>
      </c>
    </row>
    <row r="153" ht="15.75" customHeight="1">
      <c r="A153" s="3" t="s">
        <v>651</v>
      </c>
      <c r="B153" s="4" t="s">
        <v>652</v>
      </c>
      <c r="C153" s="4" t="s">
        <v>653</v>
      </c>
      <c r="D153" s="3" t="s">
        <v>99</v>
      </c>
      <c r="E153" s="4"/>
      <c r="F153" s="11" t="s">
        <v>654</v>
      </c>
    </row>
    <row r="154" ht="15.75" customHeight="1">
      <c r="A154" s="3" t="s">
        <v>655</v>
      </c>
      <c r="B154" s="4" t="s">
        <v>656</v>
      </c>
      <c r="C154" s="4" t="s">
        <v>657</v>
      </c>
      <c r="D154" s="3" t="s">
        <v>99</v>
      </c>
      <c r="E154" s="4"/>
      <c r="F154" s="11" t="s">
        <v>658</v>
      </c>
    </row>
    <row r="155" ht="15.75" customHeight="1">
      <c r="A155" s="3" t="s">
        <v>659</v>
      </c>
      <c r="B155" s="4" t="s">
        <v>660</v>
      </c>
      <c r="C155" s="4" t="s">
        <v>661</v>
      </c>
      <c r="D155" s="3" t="s">
        <v>99</v>
      </c>
      <c r="E155" s="4"/>
      <c r="F155" s="11" t="s">
        <v>662</v>
      </c>
    </row>
    <row r="156" ht="15.75" customHeight="1">
      <c r="A156" s="3" t="s">
        <v>663</v>
      </c>
      <c r="B156" s="4" t="s">
        <v>660</v>
      </c>
      <c r="C156" s="4" t="s">
        <v>664</v>
      </c>
      <c r="D156" s="3" t="s">
        <v>99</v>
      </c>
      <c r="E156" s="4"/>
      <c r="F156" s="11" t="s">
        <v>665</v>
      </c>
    </row>
    <row r="157" ht="15.75" customHeight="1">
      <c r="A157" s="3" t="s">
        <v>666</v>
      </c>
      <c r="B157" s="4" t="s">
        <v>660</v>
      </c>
      <c r="C157" s="4" t="s">
        <v>667</v>
      </c>
      <c r="D157" s="3" t="s">
        <v>99</v>
      </c>
      <c r="E157" s="4"/>
      <c r="F157" s="11" t="s">
        <v>668</v>
      </c>
    </row>
    <row r="158" ht="15.75" customHeight="1">
      <c r="A158" s="3" t="s">
        <v>669</v>
      </c>
      <c r="B158" s="4" t="s">
        <v>660</v>
      </c>
      <c r="C158" s="4" t="s">
        <v>670</v>
      </c>
      <c r="D158" s="3" t="s">
        <v>99</v>
      </c>
      <c r="E158" s="4"/>
      <c r="F158" s="11" t="s">
        <v>671</v>
      </c>
    </row>
    <row r="159" ht="15.75" customHeight="1">
      <c r="A159" s="3" t="s">
        <v>672</v>
      </c>
      <c r="B159" s="4" t="s">
        <v>660</v>
      </c>
      <c r="C159" s="4" t="s">
        <v>673</v>
      </c>
      <c r="D159" s="3" t="s">
        <v>99</v>
      </c>
      <c r="E159" s="4"/>
      <c r="F159" s="11" t="s">
        <v>674</v>
      </c>
    </row>
    <row r="160" ht="15.75" hidden="1" customHeight="1">
      <c r="A160" s="3" t="s">
        <v>675</v>
      </c>
      <c r="B160" s="4" t="s">
        <v>676</v>
      </c>
      <c r="C160" s="4" t="s">
        <v>677</v>
      </c>
      <c r="D160" s="3" t="s">
        <v>38</v>
      </c>
      <c r="E160" s="4"/>
      <c r="F160" s="11" t="s">
        <v>678</v>
      </c>
    </row>
    <row r="161" ht="15.75" hidden="1" customHeight="1">
      <c r="A161" s="3" t="s">
        <v>679</v>
      </c>
      <c r="B161" s="4" t="s">
        <v>676</v>
      </c>
      <c r="C161" s="4" t="s">
        <v>94</v>
      </c>
      <c r="D161" s="3" t="s">
        <v>38</v>
      </c>
      <c r="E161" s="4"/>
      <c r="F161" s="11" t="s">
        <v>680</v>
      </c>
    </row>
    <row r="162" ht="15.75" customHeight="1">
      <c r="A162" s="3" t="s">
        <v>681</v>
      </c>
      <c r="B162" s="4" t="s">
        <v>682</v>
      </c>
      <c r="C162" s="4" t="s">
        <v>683</v>
      </c>
      <c r="D162" s="3" t="s">
        <v>99</v>
      </c>
      <c r="E162" s="4"/>
      <c r="F162" s="11" t="s">
        <v>684</v>
      </c>
    </row>
    <row r="163" ht="15.75" customHeight="1">
      <c r="A163" s="3" t="s">
        <v>685</v>
      </c>
      <c r="B163" s="4" t="s">
        <v>686</v>
      </c>
      <c r="C163" s="4" t="s">
        <v>687</v>
      </c>
      <c r="D163" s="3" t="s">
        <v>99</v>
      </c>
      <c r="E163" s="4"/>
      <c r="F163" s="11" t="s">
        <v>688</v>
      </c>
    </row>
    <row r="164" ht="15.75" customHeight="1">
      <c r="A164" s="3" t="s">
        <v>689</v>
      </c>
      <c r="B164" s="4" t="s">
        <v>690</v>
      </c>
      <c r="C164" s="4" t="s">
        <v>691</v>
      </c>
      <c r="D164" s="3" t="s">
        <v>99</v>
      </c>
      <c r="E164" s="4"/>
      <c r="F164" s="11" t="s">
        <v>692</v>
      </c>
    </row>
    <row r="165" ht="15.75" customHeight="1">
      <c r="A165" s="3" t="s">
        <v>693</v>
      </c>
      <c r="B165" s="4" t="s">
        <v>690</v>
      </c>
      <c r="C165" s="4" t="s">
        <v>694</v>
      </c>
      <c r="D165" s="3" t="s">
        <v>99</v>
      </c>
      <c r="E165" s="4"/>
      <c r="F165" s="11" t="s">
        <v>695</v>
      </c>
    </row>
    <row r="166" ht="15.75" customHeight="1">
      <c r="A166" s="3" t="s">
        <v>696</v>
      </c>
      <c r="B166" s="4" t="s">
        <v>697</v>
      </c>
      <c r="C166" s="4" t="s">
        <v>145</v>
      </c>
      <c r="D166" s="3" t="s">
        <v>99</v>
      </c>
      <c r="E166" s="4"/>
      <c r="F166" s="11" t="s">
        <v>698</v>
      </c>
    </row>
    <row r="167" ht="15.75" customHeight="1">
      <c r="A167" s="3" t="s">
        <v>699</v>
      </c>
      <c r="B167" s="4" t="s">
        <v>690</v>
      </c>
      <c r="C167" s="4" t="s">
        <v>700</v>
      </c>
      <c r="D167" s="3" t="s">
        <v>99</v>
      </c>
      <c r="E167" s="4"/>
      <c r="F167" s="11" t="s">
        <v>701</v>
      </c>
    </row>
    <row r="168" ht="15.75" customHeight="1">
      <c r="A168" s="3" t="s">
        <v>702</v>
      </c>
      <c r="B168" s="4" t="s">
        <v>703</v>
      </c>
      <c r="C168" s="4" t="s">
        <v>704</v>
      </c>
      <c r="D168" s="3" t="s">
        <v>99</v>
      </c>
      <c r="E168" s="4"/>
      <c r="F168" s="11" t="s">
        <v>705</v>
      </c>
    </row>
    <row r="169" ht="15.75" customHeight="1">
      <c r="A169" s="3" t="s">
        <v>706</v>
      </c>
      <c r="B169" s="4" t="s">
        <v>707</v>
      </c>
      <c r="C169" s="4" t="s">
        <v>708</v>
      </c>
      <c r="D169" s="3" t="s">
        <v>99</v>
      </c>
      <c r="E169" s="4"/>
      <c r="F169" s="11" t="s">
        <v>709</v>
      </c>
    </row>
    <row r="170" ht="15.75" customHeight="1">
      <c r="A170" s="3" t="s">
        <v>710</v>
      </c>
      <c r="B170" s="4" t="s">
        <v>711</v>
      </c>
      <c r="C170" s="4" t="s">
        <v>712</v>
      </c>
      <c r="D170" s="3" t="s">
        <v>99</v>
      </c>
      <c r="E170" s="4"/>
      <c r="F170" s="11" t="s">
        <v>713</v>
      </c>
    </row>
    <row r="171" ht="15.75" hidden="1" customHeight="1">
      <c r="A171" s="3" t="s">
        <v>714</v>
      </c>
      <c r="B171" s="4" t="s">
        <v>715</v>
      </c>
      <c r="C171" s="4" t="s">
        <v>716</v>
      </c>
      <c r="D171" s="3" t="s">
        <v>38</v>
      </c>
      <c r="E171" s="4"/>
      <c r="F171" s="11" t="s">
        <v>717</v>
      </c>
    </row>
    <row r="172" ht="15.75" hidden="1" customHeight="1">
      <c r="A172" s="3" t="s">
        <v>718</v>
      </c>
      <c r="B172" s="4" t="s">
        <v>719</v>
      </c>
      <c r="C172" s="4" t="s">
        <v>720</v>
      </c>
      <c r="D172" s="3" t="s">
        <v>38</v>
      </c>
      <c r="E172" s="4"/>
      <c r="F172" s="11" t="s">
        <v>721</v>
      </c>
    </row>
    <row r="173" ht="15.75" customHeight="1">
      <c r="A173" s="3" t="s">
        <v>722</v>
      </c>
      <c r="B173" s="4" t="s">
        <v>723</v>
      </c>
      <c r="C173" s="4" t="s">
        <v>724</v>
      </c>
      <c r="D173" s="3" t="s">
        <v>99</v>
      </c>
      <c r="E173" s="4"/>
      <c r="F173" s="11" t="s">
        <v>725</v>
      </c>
    </row>
    <row r="174" ht="15.75" hidden="1" customHeight="1">
      <c r="A174" s="3" t="s">
        <v>726</v>
      </c>
      <c r="B174" s="4" t="s">
        <v>727</v>
      </c>
      <c r="C174" s="4" t="s">
        <v>728</v>
      </c>
      <c r="D174" s="3" t="s">
        <v>38</v>
      </c>
      <c r="E174" s="4"/>
      <c r="F174" s="11" t="s">
        <v>729</v>
      </c>
    </row>
    <row r="175" ht="15.75" customHeight="1">
      <c r="A175" s="3" t="s">
        <v>730</v>
      </c>
      <c r="B175" s="4" t="s">
        <v>731</v>
      </c>
      <c r="C175" s="4" t="s">
        <v>732</v>
      </c>
      <c r="D175" s="3" t="s">
        <v>99</v>
      </c>
      <c r="E175" s="4"/>
      <c r="F175" s="11" t="s">
        <v>733</v>
      </c>
    </row>
    <row r="176" ht="15.75" customHeight="1">
      <c r="A176" s="3" t="s">
        <v>734</v>
      </c>
      <c r="B176" s="4" t="s">
        <v>731</v>
      </c>
      <c r="C176" s="4" t="s">
        <v>625</v>
      </c>
      <c r="D176" s="3" t="s">
        <v>99</v>
      </c>
      <c r="E176" s="4"/>
      <c r="F176" s="11" t="s">
        <v>735</v>
      </c>
    </row>
    <row r="177" ht="15.75" customHeight="1">
      <c r="A177" s="3" t="s">
        <v>736</v>
      </c>
      <c r="B177" s="4" t="s">
        <v>737</v>
      </c>
      <c r="C177" s="4" t="s">
        <v>738</v>
      </c>
      <c r="D177" s="3" t="s">
        <v>99</v>
      </c>
      <c r="E177" s="4"/>
      <c r="F177" s="11" t="s">
        <v>739</v>
      </c>
    </row>
    <row r="178" ht="15.75" hidden="1" customHeight="1">
      <c r="A178" s="3" t="s">
        <v>740</v>
      </c>
      <c r="B178" s="4" t="s">
        <v>741</v>
      </c>
      <c r="C178" s="4" t="s">
        <v>742</v>
      </c>
      <c r="D178" s="3" t="s">
        <v>38</v>
      </c>
      <c r="E178" s="4"/>
      <c r="F178" s="11" t="s">
        <v>743</v>
      </c>
    </row>
    <row r="179" ht="15.75" customHeight="1">
      <c r="A179" s="3" t="s">
        <v>744</v>
      </c>
      <c r="B179" s="4" t="s">
        <v>745</v>
      </c>
      <c r="C179" s="4" t="s">
        <v>746</v>
      </c>
      <c r="D179" s="3" t="s">
        <v>99</v>
      </c>
      <c r="E179" s="4"/>
      <c r="F179" s="11" t="s">
        <v>747</v>
      </c>
    </row>
    <row r="180" ht="15.75" customHeight="1">
      <c r="A180" s="3" t="s">
        <v>748</v>
      </c>
      <c r="B180" s="4" t="s">
        <v>749</v>
      </c>
      <c r="C180" s="4" t="s">
        <v>716</v>
      </c>
      <c r="D180" s="3" t="s">
        <v>99</v>
      </c>
      <c r="E180" s="4"/>
      <c r="F180" s="11" t="s">
        <v>750</v>
      </c>
    </row>
    <row r="181" ht="15.75" customHeight="1">
      <c r="A181" s="3" t="s">
        <v>751</v>
      </c>
      <c r="B181" s="4" t="s">
        <v>752</v>
      </c>
      <c r="C181" s="4" t="s">
        <v>753</v>
      </c>
      <c r="D181" s="3" t="s">
        <v>99</v>
      </c>
      <c r="E181" s="4"/>
      <c r="F181" s="11" t="s">
        <v>754</v>
      </c>
    </row>
    <row r="182" ht="15.75" customHeight="1">
      <c r="A182" s="3" t="s">
        <v>755</v>
      </c>
      <c r="B182" s="4" t="s">
        <v>752</v>
      </c>
      <c r="C182" s="4" t="s">
        <v>756</v>
      </c>
      <c r="D182" s="3" t="s">
        <v>99</v>
      </c>
      <c r="E182" s="4"/>
      <c r="F182" s="11" t="s">
        <v>757</v>
      </c>
    </row>
    <row r="183" ht="15.75" customHeight="1">
      <c r="A183" s="3" t="s">
        <v>758</v>
      </c>
      <c r="B183" s="4" t="s">
        <v>759</v>
      </c>
      <c r="C183" s="4" t="s">
        <v>760</v>
      </c>
      <c r="D183" s="3" t="s">
        <v>99</v>
      </c>
      <c r="E183" s="4"/>
      <c r="F183" s="11" t="s">
        <v>761</v>
      </c>
    </row>
    <row r="184" ht="15.75" customHeight="1">
      <c r="A184" s="3" t="s">
        <v>762</v>
      </c>
      <c r="B184" s="4" t="s">
        <v>763</v>
      </c>
      <c r="C184" s="4" t="s">
        <v>764</v>
      </c>
      <c r="D184" s="3" t="s">
        <v>99</v>
      </c>
      <c r="E184" s="4"/>
      <c r="F184" s="11" t="s">
        <v>765</v>
      </c>
    </row>
    <row r="185" ht="15.75" customHeight="1">
      <c r="A185" s="3" t="s">
        <v>766</v>
      </c>
      <c r="B185" s="4" t="s">
        <v>767</v>
      </c>
      <c r="C185" s="4" t="s">
        <v>768</v>
      </c>
      <c r="D185" s="3" t="s">
        <v>99</v>
      </c>
      <c r="E185" s="4"/>
      <c r="F185" s="11" t="s">
        <v>769</v>
      </c>
    </row>
    <row r="186" ht="15.75" customHeight="1">
      <c r="A186" s="3" t="s">
        <v>770</v>
      </c>
      <c r="B186" s="4" t="s">
        <v>771</v>
      </c>
      <c r="C186" s="4" t="s">
        <v>94</v>
      </c>
      <c r="D186" s="3" t="s">
        <v>99</v>
      </c>
      <c r="E186" s="4"/>
      <c r="F186" s="11" t="s">
        <v>772</v>
      </c>
    </row>
    <row r="187" ht="15.75" customHeight="1">
      <c r="A187" s="3" t="s">
        <v>773</v>
      </c>
      <c r="B187" s="4" t="s">
        <v>774</v>
      </c>
      <c r="C187" s="4" t="s">
        <v>775</v>
      </c>
      <c r="D187" s="3" t="s">
        <v>99</v>
      </c>
      <c r="E187" s="4"/>
      <c r="F187" s="11" t="s">
        <v>776</v>
      </c>
    </row>
    <row r="188" ht="15.75" customHeight="1">
      <c r="A188" s="3" t="s">
        <v>777</v>
      </c>
      <c r="B188" s="4" t="s">
        <v>778</v>
      </c>
      <c r="C188" s="4" t="s">
        <v>779</v>
      </c>
      <c r="D188" s="3" t="s">
        <v>99</v>
      </c>
      <c r="E188" s="4"/>
      <c r="F188" s="11" t="s">
        <v>780</v>
      </c>
    </row>
    <row r="189" ht="15.75" customHeight="1">
      <c r="A189" s="3" t="s">
        <v>781</v>
      </c>
      <c r="B189" s="4" t="s">
        <v>782</v>
      </c>
      <c r="C189" s="4" t="s">
        <v>783</v>
      </c>
      <c r="D189" s="3" t="s">
        <v>99</v>
      </c>
      <c r="E189" s="4"/>
      <c r="F189" s="11" t="s">
        <v>784</v>
      </c>
    </row>
    <row r="190" ht="15.75" customHeight="1">
      <c r="A190" s="3" t="s">
        <v>785</v>
      </c>
      <c r="B190" s="4" t="s">
        <v>786</v>
      </c>
      <c r="C190" s="4" t="s">
        <v>787</v>
      </c>
      <c r="D190" s="3" t="s">
        <v>99</v>
      </c>
      <c r="E190" s="4"/>
      <c r="F190" s="11" t="s">
        <v>788</v>
      </c>
    </row>
    <row r="191" ht="15.75" customHeight="1">
      <c r="A191" s="3" t="s">
        <v>789</v>
      </c>
      <c r="B191" s="4" t="s">
        <v>790</v>
      </c>
      <c r="C191" s="4" t="s">
        <v>791</v>
      </c>
      <c r="D191" s="3" t="s">
        <v>99</v>
      </c>
      <c r="E191" s="4"/>
      <c r="F191" s="11" t="s">
        <v>792</v>
      </c>
    </row>
    <row r="192" ht="15.75" customHeight="1">
      <c r="A192" s="3" t="s">
        <v>793</v>
      </c>
      <c r="B192" s="4" t="s">
        <v>794</v>
      </c>
      <c r="C192" s="4" t="s">
        <v>795</v>
      </c>
      <c r="D192" s="3" t="s">
        <v>99</v>
      </c>
      <c r="E192" s="4"/>
      <c r="F192" s="11" t="s">
        <v>796</v>
      </c>
    </row>
    <row r="193" ht="15.75" customHeight="1">
      <c r="A193" s="3" t="s">
        <v>797</v>
      </c>
      <c r="B193" s="4" t="s">
        <v>798</v>
      </c>
      <c r="C193" s="4" t="s">
        <v>799</v>
      </c>
      <c r="D193" s="3" t="s">
        <v>99</v>
      </c>
      <c r="E193" s="4"/>
      <c r="F193" s="11" t="s">
        <v>800</v>
      </c>
    </row>
    <row r="194" ht="15.75" hidden="1" customHeight="1">
      <c r="A194" s="3" t="s">
        <v>801</v>
      </c>
      <c r="B194" s="4" t="s">
        <v>802</v>
      </c>
      <c r="C194" s="4" t="s">
        <v>803</v>
      </c>
      <c r="D194" s="3" t="s">
        <v>38</v>
      </c>
      <c r="E194" s="4"/>
      <c r="F194" s="11" t="s">
        <v>804</v>
      </c>
    </row>
    <row r="195" ht="15.75" hidden="1" customHeight="1">
      <c r="A195" s="3" t="s">
        <v>805</v>
      </c>
      <c r="B195" s="4" t="s">
        <v>802</v>
      </c>
      <c r="C195" s="4" t="s">
        <v>806</v>
      </c>
      <c r="D195" s="3" t="s">
        <v>38</v>
      </c>
      <c r="E195" s="4"/>
      <c r="F195" s="11" t="s">
        <v>807</v>
      </c>
    </row>
    <row r="196" ht="15.75" customHeight="1">
      <c r="A196" s="3" t="s">
        <v>808</v>
      </c>
      <c r="B196" s="4" t="s">
        <v>809</v>
      </c>
      <c r="C196" s="4" t="s">
        <v>810</v>
      </c>
      <c r="D196" s="3" t="s">
        <v>99</v>
      </c>
      <c r="E196" s="4"/>
      <c r="F196" s="11" t="s">
        <v>811</v>
      </c>
    </row>
    <row r="197" ht="15.75" hidden="1" customHeight="1">
      <c r="A197" s="3" t="s">
        <v>812</v>
      </c>
      <c r="B197" s="4" t="s">
        <v>813</v>
      </c>
      <c r="C197" s="4" t="s">
        <v>814</v>
      </c>
      <c r="D197" s="3" t="s">
        <v>38</v>
      </c>
      <c r="E197" s="4"/>
      <c r="F197" s="11" t="s">
        <v>815</v>
      </c>
    </row>
    <row r="198" ht="15.75" customHeight="1">
      <c r="A198" s="3" t="s">
        <v>816</v>
      </c>
      <c r="B198" s="4" t="s">
        <v>817</v>
      </c>
      <c r="C198" s="4" t="s">
        <v>818</v>
      </c>
      <c r="D198" s="3" t="s">
        <v>99</v>
      </c>
      <c r="E198" s="4"/>
      <c r="F198" s="11" t="s">
        <v>819</v>
      </c>
    </row>
    <row r="199" ht="15.75" hidden="1" customHeight="1">
      <c r="A199" s="3" t="s">
        <v>820</v>
      </c>
      <c r="B199" s="4" t="s">
        <v>159</v>
      </c>
      <c r="C199" s="4" t="s">
        <v>625</v>
      </c>
      <c r="D199" s="3" t="s">
        <v>38</v>
      </c>
      <c r="E199" s="4"/>
      <c r="F199" s="11" t="s">
        <v>821</v>
      </c>
    </row>
    <row r="200" ht="15.75" customHeight="1">
      <c r="A200" s="3" t="s">
        <v>822</v>
      </c>
      <c r="B200" s="4" t="s">
        <v>823</v>
      </c>
      <c r="C200" s="4" t="s">
        <v>270</v>
      </c>
      <c r="D200" s="3" t="s">
        <v>99</v>
      </c>
      <c r="E200" s="4"/>
      <c r="F200" s="11" t="s">
        <v>824</v>
      </c>
    </row>
    <row r="201" ht="15.75" customHeight="1">
      <c r="A201" s="3" t="s">
        <v>825</v>
      </c>
      <c r="B201" s="4" t="s">
        <v>826</v>
      </c>
      <c r="C201" s="4" t="s">
        <v>270</v>
      </c>
      <c r="D201" s="3" t="s">
        <v>99</v>
      </c>
      <c r="E201" s="4"/>
      <c r="F201" s="11" t="s">
        <v>827</v>
      </c>
    </row>
    <row r="202" ht="15.75" customHeight="1">
      <c r="A202" s="3" t="s">
        <v>828</v>
      </c>
      <c r="B202" s="4" t="s">
        <v>823</v>
      </c>
      <c r="C202" s="4" t="s">
        <v>829</v>
      </c>
      <c r="D202" s="3" t="s">
        <v>99</v>
      </c>
      <c r="E202" s="4"/>
      <c r="F202" s="11" t="s">
        <v>830</v>
      </c>
    </row>
    <row r="203" ht="15.75" customHeight="1">
      <c r="A203" s="3" t="s">
        <v>831</v>
      </c>
      <c r="B203" s="4" t="s">
        <v>832</v>
      </c>
      <c r="C203" s="4" t="s">
        <v>833</v>
      </c>
      <c r="D203" s="3" t="s">
        <v>99</v>
      </c>
      <c r="E203" s="4"/>
      <c r="F203" s="11" t="s">
        <v>834</v>
      </c>
    </row>
    <row r="204" ht="15.75" customHeight="1">
      <c r="A204" s="3" t="s">
        <v>835</v>
      </c>
      <c r="B204" s="4" t="s">
        <v>836</v>
      </c>
      <c r="C204" s="4" t="s">
        <v>837</v>
      </c>
      <c r="D204" s="3" t="s">
        <v>99</v>
      </c>
      <c r="E204" s="4"/>
      <c r="F204" s="11" t="s">
        <v>838</v>
      </c>
    </row>
    <row r="205" ht="15.75" customHeight="1">
      <c r="A205" s="3" t="s">
        <v>839</v>
      </c>
      <c r="B205" s="4" t="s">
        <v>840</v>
      </c>
      <c r="C205" s="4" t="s">
        <v>841</v>
      </c>
      <c r="D205" s="3" t="s">
        <v>99</v>
      </c>
      <c r="E205" s="4"/>
      <c r="F205" s="11" t="s">
        <v>842</v>
      </c>
    </row>
    <row r="206" ht="15.75" hidden="1" customHeight="1">
      <c r="A206" s="3" t="s">
        <v>843</v>
      </c>
      <c r="B206" s="4" t="s">
        <v>844</v>
      </c>
      <c r="C206" s="4" t="s">
        <v>845</v>
      </c>
      <c r="D206" s="3" t="s">
        <v>38</v>
      </c>
      <c r="E206" s="4"/>
      <c r="F206" s="11" t="s">
        <v>846</v>
      </c>
    </row>
    <row r="207" ht="15.75" customHeight="1">
      <c r="A207" s="3" t="s">
        <v>847</v>
      </c>
      <c r="B207" s="4" t="s">
        <v>848</v>
      </c>
      <c r="C207" s="4" t="s">
        <v>849</v>
      </c>
      <c r="D207" s="3" t="s">
        <v>99</v>
      </c>
      <c r="E207" s="4"/>
      <c r="F207" s="11" t="s">
        <v>850</v>
      </c>
    </row>
    <row r="208" ht="15.75" customHeight="1">
      <c r="A208" s="3" t="s">
        <v>851</v>
      </c>
      <c r="B208" s="4" t="s">
        <v>852</v>
      </c>
      <c r="C208" s="4" t="s">
        <v>853</v>
      </c>
      <c r="D208" s="3" t="s">
        <v>99</v>
      </c>
      <c r="E208" s="4"/>
      <c r="F208" s="11" t="s">
        <v>854</v>
      </c>
    </row>
    <row r="209" ht="15.75" customHeight="1">
      <c r="A209" s="3" t="s">
        <v>855</v>
      </c>
      <c r="B209" s="4" t="s">
        <v>856</v>
      </c>
      <c r="C209" s="4" t="s">
        <v>857</v>
      </c>
      <c r="D209" s="3" t="s">
        <v>99</v>
      </c>
      <c r="E209" s="4"/>
      <c r="F209" s="11" t="s">
        <v>858</v>
      </c>
    </row>
    <row r="210" ht="15.75" hidden="1" customHeight="1">
      <c r="A210" s="3" t="s">
        <v>859</v>
      </c>
      <c r="B210" s="4" t="s">
        <v>860</v>
      </c>
      <c r="C210" s="4" t="s">
        <v>633</v>
      </c>
      <c r="D210" s="3" t="s">
        <v>38</v>
      </c>
      <c r="E210" s="4"/>
      <c r="F210" s="11" t="s">
        <v>861</v>
      </c>
    </row>
    <row r="211" ht="15.75" customHeight="1">
      <c r="A211" s="3" t="s">
        <v>862</v>
      </c>
      <c r="B211" s="4" t="s">
        <v>860</v>
      </c>
      <c r="C211" s="4" t="s">
        <v>863</v>
      </c>
      <c r="D211" s="3" t="s">
        <v>99</v>
      </c>
      <c r="E211" s="4"/>
      <c r="F211" s="11" t="s">
        <v>864</v>
      </c>
    </row>
    <row r="212" ht="15.75" customHeight="1">
      <c r="A212" s="3" t="s">
        <v>865</v>
      </c>
      <c r="B212" s="4" t="s">
        <v>532</v>
      </c>
      <c r="C212" s="4" t="s">
        <v>866</v>
      </c>
      <c r="D212" s="3" t="s">
        <v>99</v>
      </c>
      <c r="E212" s="4"/>
      <c r="F212" s="11" t="s">
        <v>867</v>
      </c>
    </row>
    <row r="213" ht="15.75" customHeight="1">
      <c r="A213" s="3" t="s">
        <v>868</v>
      </c>
      <c r="B213" s="4" t="s">
        <v>869</v>
      </c>
      <c r="C213" s="4" t="s">
        <v>870</v>
      </c>
      <c r="D213" s="3" t="s">
        <v>99</v>
      </c>
      <c r="E213" s="4"/>
      <c r="F213" s="11" t="s">
        <v>871</v>
      </c>
    </row>
    <row r="214" ht="15.75" customHeight="1">
      <c r="A214" s="3" t="s">
        <v>872</v>
      </c>
      <c r="B214" s="4" t="s">
        <v>873</v>
      </c>
      <c r="C214" s="4" t="s">
        <v>874</v>
      </c>
      <c r="D214" s="3" t="s">
        <v>99</v>
      </c>
      <c r="E214" s="4"/>
      <c r="F214" s="11" t="s">
        <v>875</v>
      </c>
    </row>
    <row r="215" ht="15.75" hidden="1" customHeight="1">
      <c r="A215" s="3" t="s">
        <v>876</v>
      </c>
      <c r="B215" s="4" t="s">
        <v>877</v>
      </c>
      <c r="C215" s="4" t="s">
        <v>633</v>
      </c>
      <c r="D215" s="3" t="s">
        <v>38</v>
      </c>
      <c r="E215" s="4"/>
      <c r="F215" s="11" t="s">
        <v>878</v>
      </c>
    </row>
    <row r="216" ht="15.75" customHeight="1">
      <c r="A216" s="3" t="s">
        <v>879</v>
      </c>
      <c r="B216" s="4" t="s">
        <v>880</v>
      </c>
      <c r="C216" s="4" t="s">
        <v>881</v>
      </c>
      <c r="D216" s="3" t="s">
        <v>99</v>
      </c>
      <c r="E216" s="4"/>
      <c r="F216" s="11" t="s">
        <v>882</v>
      </c>
    </row>
    <row r="217" ht="15.75" customHeight="1">
      <c r="A217" s="3" t="s">
        <v>883</v>
      </c>
      <c r="B217" s="4" t="s">
        <v>884</v>
      </c>
      <c r="C217" s="4" t="s">
        <v>885</v>
      </c>
      <c r="D217" s="3" t="s">
        <v>99</v>
      </c>
      <c r="E217" s="4"/>
      <c r="F217" s="11" t="s">
        <v>886</v>
      </c>
    </row>
    <row r="218" ht="15.75" customHeight="1">
      <c r="A218" s="3" t="s">
        <v>887</v>
      </c>
      <c r="B218" s="4" t="s">
        <v>880</v>
      </c>
      <c r="C218" s="4" t="s">
        <v>870</v>
      </c>
      <c r="D218" s="3" t="s">
        <v>99</v>
      </c>
      <c r="E218" s="4"/>
      <c r="F218" s="11" t="s">
        <v>888</v>
      </c>
    </row>
    <row r="219" ht="15.75" hidden="1" customHeight="1">
      <c r="A219" s="3" t="s">
        <v>889</v>
      </c>
      <c r="B219" s="4" t="s">
        <v>890</v>
      </c>
      <c r="C219" s="4" t="s">
        <v>190</v>
      </c>
      <c r="D219" s="3" t="s">
        <v>38</v>
      </c>
      <c r="E219" s="4"/>
      <c r="F219" s="11" t="s">
        <v>891</v>
      </c>
    </row>
    <row r="220" ht="15.75" customHeight="1">
      <c r="A220" s="3" t="s">
        <v>892</v>
      </c>
      <c r="B220" s="4" t="s">
        <v>893</v>
      </c>
      <c r="C220" s="4" t="s">
        <v>297</v>
      </c>
      <c r="D220" s="3" t="s">
        <v>99</v>
      </c>
      <c r="E220" s="4"/>
      <c r="F220" s="11" t="s">
        <v>894</v>
      </c>
    </row>
    <row r="221" ht="15.75" customHeight="1">
      <c r="A221" s="3" t="s">
        <v>895</v>
      </c>
      <c r="B221" s="4" t="s">
        <v>896</v>
      </c>
      <c r="C221" s="4" t="s">
        <v>897</v>
      </c>
      <c r="D221" s="3" t="s">
        <v>99</v>
      </c>
      <c r="E221" s="4"/>
      <c r="F221" s="11" t="s">
        <v>898</v>
      </c>
    </row>
    <row r="222" ht="15.75" customHeight="1">
      <c r="A222" s="3" t="s">
        <v>899</v>
      </c>
      <c r="B222" s="4" t="s">
        <v>900</v>
      </c>
      <c r="C222" s="4" t="s">
        <v>901</v>
      </c>
      <c r="D222" s="3" t="s">
        <v>99</v>
      </c>
      <c r="E222" s="4"/>
      <c r="F222" s="11" t="s">
        <v>902</v>
      </c>
    </row>
    <row r="223" ht="15.75" customHeight="1">
      <c r="A223" s="3" t="s">
        <v>903</v>
      </c>
      <c r="B223" s="4" t="s">
        <v>904</v>
      </c>
      <c r="C223" s="4" t="s">
        <v>905</v>
      </c>
      <c r="D223" s="3" t="s">
        <v>99</v>
      </c>
      <c r="E223" s="4"/>
      <c r="F223" s="11" t="s">
        <v>906</v>
      </c>
    </row>
    <row r="224" ht="15.75" customHeight="1">
      <c r="A224" s="3" t="s">
        <v>907</v>
      </c>
      <c r="B224" s="4" t="s">
        <v>908</v>
      </c>
      <c r="C224" s="4" t="s">
        <v>909</v>
      </c>
      <c r="D224" s="3" t="s">
        <v>99</v>
      </c>
      <c r="E224" s="4"/>
      <c r="F224" s="11" t="s">
        <v>910</v>
      </c>
    </row>
    <row r="225" ht="15.75" customHeight="1">
      <c r="A225" s="3" t="s">
        <v>911</v>
      </c>
      <c r="B225" s="4" t="s">
        <v>908</v>
      </c>
      <c r="C225" s="4" t="s">
        <v>912</v>
      </c>
      <c r="D225" s="3" t="s">
        <v>99</v>
      </c>
      <c r="E225" s="4"/>
      <c r="F225" s="11" t="s">
        <v>913</v>
      </c>
    </row>
    <row r="226" ht="15.75" customHeight="1">
      <c r="A226" s="3" t="s">
        <v>914</v>
      </c>
      <c r="B226" s="4" t="s">
        <v>915</v>
      </c>
      <c r="C226" s="4" t="s">
        <v>916</v>
      </c>
      <c r="D226" s="3" t="s">
        <v>99</v>
      </c>
      <c r="E226" s="4"/>
      <c r="F226" s="11" t="s">
        <v>917</v>
      </c>
    </row>
    <row r="227" ht="15.75" hidden="1" customHeight="1">
      <c r="A227" s="3" t="s">
        <v>918</v>
      </c>
      <c r="B227" s="4" t="s">
        <v>919</v>
      </c>
      <c r="C227" s="4" t="s">
        <v>920</v>
      </c>
      <c r="D227" s="3" t="s">
        <v>38</v>
      </c>
      <c r="E227" s="4"/>
      <c r="F227" s="11" t="s">
        <v>921</v>
      </c>
    </row>
    <row r="228" ht="15.75" customHeight="1">
      <c r="A228" s="3" t="s">
        <v>922</v>
      </c>
      <c r="B228" s="4" t="s">
        <v>919</v>
      </c>
      <c r="C228" s="4" t="s">
        <v>814</v>
      </c>
      <c r="D228" s="3" t="s">
        <v>99</v>
      </c>
      <c r="E228" s="4"/>
      <c r="F228" s="11" t="s">
        <v>923</v>
      </c>
    </row>
    <row r="229" ht="15.75" hidden="1" customHeight="1">
      <c r="A229" s="3" t="s">
        <v>924</v>
      </c>
      <c r="B229" s="4" t="s">
        <v>919</v>
      </c>
      <c r="C229" s="4" t="s">
        <v>311</v>
      </c>
      <c r="D229" s="3" t="s">
        <v>38</v>
      </c>
      <c r="E229" s="4"/>
      <c r="F229" s="11" t="s">
        <v>925</v>
      </c>
    </row>
    <row r="230" ht="15.75" customHeight="1">
      <c r="A230" s="3" t="s">
        <v>926</v>
      </c>
      <c r="B230" s="4" t="s">
        <v>927</v>
      </c>
      <c r="C230" s="4" t="s">
        <v>928</v>
      </c>
      <c r="D230" s="3" t="s">
        <v>99</v>
      </c>
      <c r="E230" s="4"/>
      <c r="F230" s="11" t="s">
        <v>929</v>
      </c>
    </row>
    <row r="231" ht="15.75" customHeight="1">
      <c r="A231" s="3" t="s">
        <v>930</v>
      </c>
      <c r="B231" s="4" t="s">
        <v>931</v>
      </c>
      <c r="C231" s="4" t="s">
        <v>394</v>
      </c>
      <c r="D231" s="3" t="s">
        <v>99</v>
      </c>
      <c r="E231" s="4"/>
      <c r="F231" s="11" t="s">
        <v>932</v>
      </c>
    </row>
    <row r="232" ht="15.75" customHeight="1">
      <c r="A232" s="3" t="s">
        <v>933</v>
      </c>
      <c r="B232" s="4" t="s">
        <v>450</v>
      </c>
      <c r="C232" s="4" t="s">
        <v>934</v>
      </c>
      <c r="D232" s="3" t="s">
        <v>99</v>
      </c>
      <c r="E232" s="4"/>
      <c r="F232" s="11" t="s">
        <v>935</v>
      </c>
    </row>
    <row r="233" ht="15.75" customHeight="1">
      <c r="A233" s="3" t="s">
        <v>936</v>
      </c>
      <c r="B233" s="4" t="s">
        <v>937</v>
      </c>
      <c r="C233" s="4" t="s">
        <v>938</v>
      </c>
      <c r="D233" s="3" t="s">
        <v>99</v>
      </c>
      <c r="E233" s="4"/>
      <c r="F233" s="11" t="s">
        <v>939</v>
      </c>
    </row>
    <row r="234" ht="15.75" hidden="1" customHeight="1">
      <c r="A234" s="3" t="s">
        <v>940</v>
      </c>
      <c r="B234" s="4" t="s">
        <v>941</v>
      </c>
      <c r="C234" s="4" t="s">
        <v>942</v>
      </c>
      <c r="D234" s="3" t="s">
        <v>38</v>
      </c>
      <c r="E234" s="4"/>
      <c r="F234" s="11" t="s">
        <v>943</v>
      </c>
    </row>
    <row r="235" ht="15.75" customHeight="1">
      <c r="A235" s="3" t="s">
        <v>944</v>
      </c>
      <c r="B235" s="4" t="s">
        <v>945</v>
      </c>
      <c r="C235" s="4" t="s">
        <v>946</v>
      </c>
      <c r="D235" s="3" t="s">
        <v>99</v>
      </c>
      <c r="E235" s="4"/>
      <c r="F235" s="11" t="s">
        <v>947</v>
      </c>
    </row>
    <row r="236" ht="15.75" customHeight="1">
      <c r="A236" s="3" t="s">
        <v>948</v>
      </c>
      <c r="B236" s="4" t="s">
        <v>949</v>
      </c>
      <c r="C236" s="4" t="s">
        <v>950</v>
      </c>
      <c r="D236" s="3" t="s">
        <v>99</v>
      </c>
      <c r="E236" s="4"/>
      <c r="F236" s="11" t="s">
        <v>951</v>
      </c>
    </row>
    <row r="237" ht="15.75" customHeight="1">
      <c r="A237" s="3" t="s">
        <v>952</v>
      </c>
      <c r="B237" s="4" t="s">
        <v>949</v>
      </c>
      <c r="C237" s="4" t="s">
        <v>953</v>
      </c>
      <c r="D237" s="3" t="s">
        <v>99</v>
      </c>
      <c r="E237" s="4"/>
      <c r="F237" s="11" t="s">
        <v>954</v>
      </c>
    </row>
    <row r="238" ht="15.75" customHeight="1">
      <c r="A238" s="3" t="s">
        <v>955</v>
      </c>
      <c r="B238" s="4" t="s">
        <v>956</v>
      </c>
      <c r="C238" s="4" t="s">
        <v>365</v>
      </c>
      <c r="D238" s="3" t="s">
        <v>99</v>
      </c>
      <c r="E238" s="4"/>
      <c r="F238" s="11" t="s">
        <v>957</v>
      </c>
    </row>
    <row r="239" ht="15.75" customHeight="1">
      <c r="A239" s="3" t="s">
        <v>958</v>
      </c>
      <c r="B239" s="4" t="s">
        <v>823</v>
      </c>
      <c r="C239" s="4" t="s">
        <v>959</v>
      </c>
      <c r="D239" s="3" t="s">
        <v>99</v>
      </c>
      <c r="E239" s="4"/>
      <c r="F239" s="11" t="s">
        <v>960</v>
      </c>
    </row>
    <row r="240" ht="15.75" customHeight="1">
      <c r="A240" s="3" t="s">
        <v>961</v>
      </c>
      <c r="B240" s="4" t="s">
        <v>949</v>
      </c>
      <c r="C240" s="4" t="s">
        <v>962</v>
      </c>
      <c r="D240" s="3" t="s">
        <v>99</v>
      </c>
      <c r="E240" s="4"/>
      <c r="F240" s="11" t="s">
        <v>963</v>
      </c>
    </row>
    <row r="241" ht="15.75" customHeight="1">
      <c r="A241" s="3" t="s">
        <v>964</v>
      </c>
      <c r="B241" s="4" t="s">
        <v>965</v>
      </c>
      <c r="C241" s="4" t="s">
        <v>966</v>
      </c>
      <c r="D241" s="3" t="s">
        <v>99</v>
      </c>
      <c r="E241" s="4"/>
      <c r="F241" s="11" t="s">
        <v>967</v>
      </c>
    </row>
    <row r="242" ht="15.75" hidden="1" customHeight="1">
      <c r="A242" s="3" t="s">
        <v>968</v>
      </c>
      <c r="B242" s="4" t="s">
        <v>969</v>
      </c>
      <c r="C242" s="4" t="s">
        <v>970</v>
      </c>
      <c r="D242" s="3" t="s">
        <v>38</v>
      </c>
      <c r="E242" s="4"/>
      <c r="F242" s="11" t="s">
        <v>971</v>
      </c>
    </row>
    <row r="243" ht="15.75" customHeight="1">
      <c r="A243" s="3" t="s">
        <v>972</v>
      </c>
      <c r="B243" s="4" t="s">
        <v>973</v>
      </c>
      <c r="C243" s="4" t="s">
        <v>289</v>
      </c>
      <c r="D243" s="3" t="s">
        <v>99</v>
      </c>
      <c r="E243" s="4"/>
      <c r="F243" s="11" t="s">
        <v>974</v>
      </c>
    </row>
    <row r="244" ht="15.75" customHeight="1">
      <c r="A244" s="3" t="s">
        <v>975</v>
      </c>
      <c r="B244" s="4" t="s">
        <v>973</v>
      </c>
      <c r="C244" s="4" t="s">
        <v>976</v>
      </c>
      <c r="D244" s="3" t="s">
        <v>99</v>
      </c>
      <c r="E244" s="4"/>
      <c r="F244" s="11" t="s">
        <v>977</v>
      </c>
    </row>
    <row r="245" ht="15.75" customHeight="1">
      <c r="A245" s="3" t="s">
        <v>978</v>
      </c>
      <c r="B245" s="4" t="s">
        <v>979</v>
      </c>
      <c r="C245" s="4" t="s">
        <v>980</v>
      </c>
      <c r="D245" s="3" t="s">
        <v>99</v>
      </c>
      <c r="E245" s="4"/>
      <c r="F245" s="11" t="s">
        <v>981</v>
      </c>
    </row>
    <row r="246" ht="15.75" customHeight="1">
      <c r="A246" s="3" t="s">
        <v>982</v>
      </c>
      <c r="B246" s="4" t="s">
        <v>550</v>
      </c>
      <c r="C246" s="4" t="s">
        <v>983</v>
      </c>
      <c r="D246" s="3" t="s">
        <v>99</v>
      </c>
      <c r="E246" s="4"/>
      <c r="F246" s="11" t="s">
        <v>984</v>
      </c>
    </row>
    <row r="247" ht="15.75" customHeight="1">
      <c r="A247" s="3" t="s">
        <v>985</v>
      </c>
      <c r="B247" s="4" t="s">
        <v>986</v>
      </c>
      <c r="C247" s="4" t="s">
        <v>625</v>
      </c>
      <c r="D247" s="3" t="s">
        <v>99</v>
      </c>
      <c r="E247" s="4"/>
      <c r="F247" s="11" t="s">
        <v>987</v>
      </c>
    </row>
    <row r="248" ht="15.75" customHeight="1">
      <c r="A248" s="3" t="s">
        <v>988</v>
      </c>
      <c r="B248" s="4" t="s">
        <v>989</v>
      </c>
      <c r="C248" s="4" t="s">
        <v>990</v>
      </c>
      <c r="D248" s="3" t="s">
        <v>99</v>
      </c>
      <c r="E248" s="4"/>
      <c r="F248" s="11" t="s">
        <v>991</v>
      </c>
    </row>
    <row r="249" ht="15.75" customHeight="1">
      <c r="A249" s="3" t="s">
        <v>992</v>
      </c>
      <c r="B249" s="4" t="s">
        <v>993</v>
      </c>
      <c r="C249" s="4" t="s">
        <v>994</v>
      </c>
      <c r="D249" s="3" t="s">
        <v>99</v>
      </c>
      <c r="E249" s="4"/>
      <c r="F249" s="11" t="s">
        <v>995</v>
      </c>
    </row>
    <row r="250" ht="15.75" customHeight="1">
      <c r="A250" s="3" t="s">
        <v>996</v>
      </c>
      <c r="B250" s="4" t="s">
        <v>997</v>
      </c>
      <c r="C250" s="4" t="s">
        <v>998</v>
      </c>
      <c r="D250" s="3" t="s">
        <v>99</v>
      </c>
      <c r="E250" s="4"/>
      <c r="F250" s="11" t="s">
        <v>999</v>
      </c>
    </row>
    <row r="251" ht="15.75" hidden="1" customHeight="1">
      <c r="A251" s="3" t="s">
        <v>1000</v>
      </c>
      <c r="B251" s="4" t="s">
        <v>1001</v>
      </c>
      <c r="C251" s="4" t="s">
        <v>625</v>
      </c>
      <c r="D251" s="3" t="s">
        <v>38</v>
      </c>
      <c r="E251" s="4"/>
      <c r="F251" s="11" t="s">
        <v>1002</v>
      </c>
    </row>
    <row r="252" ht="15.75" hidden="1" customHeight="1">
      <c r="A252" s="3" t="s">
        <v>1003</v>
      </c>
      <c r="B252" s="4" t="s">
        <v>1001</v>
      </c>
      <c r="C252" s="4" t="s">
        <v>462</v>
      </c>
      <c r="D252" s="3" t="s">
        <v>38</v>
      </c>
      <c r="E252" s="4"/>
      <c r="F252" s="11" t="s">
        <v>1004</v>
      </c>
    </row>
    <row r="253" ht="15.75" customHeight="1">
      <c r="A253" s="3" t="s">
        <v>1005</v>
      </c>
      <c r="B253" s="4" t="s">
        <v>1006</v>
      </c>
      <c r="C253" s="4" t="s">
        <v>1007</v>
      </c>
      <c r="D253" s="3" t="s">
        <v>99</v>
      </c>
      <c r="E253" s="4"/>
      <c r="F253" s="11" t="s">
        <v>1008</v>
      </c>
    </row>
    <row r="254" ht="15.75" customHeight="1">
      <c r="A254" s="3" t="s">
        <v>1009</v>
      </c>
      <c r="B254" s="4" t="s">
        <v>1010</v>
      </c>
      <c r="C254" s="4" t="s">
        <v>1011</v>
      </c>
      <c r="D254" s="3" t="s">
        <v>99</v>
      </c>
      <c r="E254" s="4"/>
      <c r="F254" s="11" t="s">
        <v>1012</v>
      </c>
    </row>
    <row r="255" ht="15.75" customHeight="1">
      <c r="A255" s="3" t="s">
        <v>1013</v>
      </c>
      <c r="B255" s="4" t="s">
        <v>1014</v>
      </c>
      <c r="C255" s="4" t="s">
        <v>1015</v>
      </c>
      <c r="D255" s="3" t="s">
        <v>99</v>
      </c>
      <c r="E255" s="4"/>
      <c r="F255" s="11" t="s">
        <v>1016</v>
      </c>
    </row>
    <row r="256" ht="15.75" customHeight="1">
      <c r="A256" s="3" t="s">
        <v>1017</v>
      </c>
      <c r="B256" s="4" t="s">
        <v>1018</v>
      </c>
      <c r="C256" s="4" t="s">
        <v>1019</v>
      </c>
      <c r="D256" s="3" t="s">
        <v>99</v>
      </c>
      <c r="E256" s="4"/>
      <c r="F256" s="11" t="s">
        <v>1020</v>
      </c>
    </row>
    <row r="257" ht="15.75" customHeight="1">
      <c r="A257" s="3" t="s">
        <v>1021</v>
      </c>
      <c r="B257" s="4" t="s">
        <v>1022</v>
      </c>
      <c r="C257" s="4" t="s">
        <v>1023</v>
      </c>
      <c r="D257" s="3" t="s">
        <v>99</v>
      </c>
      <c r="E257" s="4"/>
      <c r="F257" s="11" t="s">
        <v>1024</v>
      </c>
    </row>
    <row r="258" ht="15.75" customHeight="1">
      <c r="A258" s="3" t="s">
        <v>1025</v>
      </c>
      <c r="B258" s="4" t="s">
        <v>1026</v>
      </c>
      <c r="C258" s="4" t="s">
        <v>1027</v>
      </c>
      <c r="D258" s="3" t="s">
        <v>99</v>
      </c>
      <c r="E258" s="4"/>
      <c r="F258" s="11" t="s">
        <v>1028</v>
      </c>
    </row>
    <row r="259" ht="15.75" customHeight="1">
      <c r="A259" s="3" t="s">
        <v>1029</v>
      </c>
      <c r="B259" s="4" t="s">
        <v>1030</v>
      </c>
      <c r="C259" s="4" t="s">
        <v>1031</v>
      </c>
      <c r="D259" s="3" t="s">
        <v>99</v>
      </c>
      <c r="E259" s="4"/>
      <c r="F259" s="11" t="s">
        <v>1032</v>
      </c>
    </row>
    <row r="260" ht="15.75" customHeight="1">
      <c r="A260" s="3" t="s">
        <v>1033</v>
      </c>
      <c r="B260" s="4" t="s">
        <v>1034</v>
      </c>
      <c r="C260" s="4" t="s">
        <v>1035</v>
      </c>
      <c r="D260" s="3" t="s">
        <v>99</v>
      </c>
      <c r="E260" s="4"/>
      <c r="F260" s="11" t="s">
        <v>1036</v>
      </c>
    </row>
    <row r="261" ht="15.75" hidden="1" customHeight="1">
      <c r="A261" s="3" t="s">
        <v>1037</v>
      </c>
      <c r="B261" s="4" t="s">
        <v>1038</v>
      </c>
      <c r="C261" s="4" t="s">
        <v>1039</v>
      </c>
      <c r="D261" s="3" t="s">
        <v>38</v>
      </c>
      <c r="E261" s="4"/>
      <c r="F261" s="11" t="s">
        <v>1040</v>
      </c>
    </row>
    <row r="262" ht="15.75" hidden="1" customHeight="1">
      <c r="A262" s="3" t="s">
        <v>1041</v>
      </c>
      <c r="B262" s="4" t="s">
        <v>1038</v>
      </c>
      <c r="C262" s="4" t="s">
        <v>1042</v>
      </c>
      <c r="D262" s="3" t="s">
        <v>38</v>
      </c>
      <c r="E262" s="4"/>
      <c r="F262" s="11" t="s">
        <v>1043</v>
      </c>
    </row>
    <row r="263" ht="15.75" hidden="1" customHeight="1">
      <c r="A263" s="3" t="s">
        <v>1044</v>
      </c>
      <c r="B263" s="4" t="s">
        <v>1045</v>
      </c>
      <c r="C263" s="4" t="s">
        <v>775</v>
      </c>
      <c r="D263" s="3" t="s">
        <v>38</v>
      </c>
      <c r="E263" s="4"/>
      <c r="F263" s="11" t="s">
        <v>1046</v>
      </c>
    </row>
    <row r="264" ht="15.75" customHeight="1">
      <c r="A264" s="3" t="s">
        <v>1047</v>
      </c>
      <c r="B264" s="4" t="s">
        <v>1048</v>
      </c>
      <c r="C264" s="4" t="s">
        <v>916</v>
      </c>
      <c r="D264" s="3" t="s">
        <v>99</v>
      </c>
      <c r="E264" s="4"/>
      <c r="F264" s="11" t="s">
        <v>1049</v>
      </c>
    </row>
    <row r="265" ht="15.75" customHeight="1">
      <c r="A265" s="3" t="s">
        <v>1050</v>
      </c>
      <c r="B265" s="4" t="s">
        <v>1051</v>
      </c>
      <c r="C265" s="4" t="s">
        <v>1052</v>
      </c>
      <c r="D265" s="3" t="s">
        <v>99</v>
      </c>
      <c r="E265" s="4"/>
      <c r="F265" s="11" t="s">
        <v>1053</v>
      </c>
    </row>
    <row r="266" ht="15.75" customHeight="1">
      <c r="A266" s="3" t="s">
        <v>1054</v>
      </c>
      <c r="B266" s="4" t="s">
        <v>1055</v>
      </c>
      <c r="C266" s="4" t="s">
        <v>1056</v>
      </c>
      <c r="D266" s="3" t="s">
        <v>99</v>
      </c>
      <c r="E266" s="4"/>
      <c r="F266" s="11" t="s">
        <v>1057</v>
      </c>
    </row>
    <row r="267" ht="15.75" customHeight="1">
      <c r="A267" s="3" t="s">
        <v>1058</v>
      </c>
      <c r="B267" s="4" t="s">
        <v>1059</v>
      </c>
      <c r="C267" s="4" t="s">
        <v>1060</v>
      </c>
      <c r="D267" s="3" t="s">
        <v>99</v>
      </c>
      <c r="E267" s="4"/>
      <c r="F267" s="11" t="s">
        <v>1061</v>
      </c>
    </row>
    <row r="268" ht="15.75" customHeight="1">
      <c r="A268" s="3" t="s">
        <v>1062</v>
      </c>
      <c r="B268" s="4" t="s">
        <v>1063</v>
      </c>
      <c r="C268" s="4" t="s">
        <v>1064</v>
      </c>
      <c r="D268" s="3" t="s">
        <v>99</v>
      </c>
      <c r="E268" s="4"/>
      <c r="F268" s="11" t="s">
        <v>1065</v>
      </c>
    </row>
    <row r="269" ht="15.75" hidden="1" customHeight="1">
      <c r="A269" s="3" t="s">
        <v>1066</v>
      </c>
      <c r="B269" s="4" t="s">
        <v>1067</v>
      </c>
      <c r="C269" s="4" t="s">
        <v>221</v>
      </c>
      <c r="D269" s="3" t="s">
        <v>38</v>
      </c>
      <c r="E269" s="4"/>
      <c r="F269" s="11" t="s">
        <v>1068</v>
      </c>
    </row>
    <row r="270" ht="15.75" customHeight="1">
      <c r="A270" s="3" t="s">
        <v>1069</v>
      </c>
      <c r="B270" s="4" t="s">
        <v>1070</v>
      </c>
      <c r="C270" s="4" t="s">
        <v>297</v>
      </c>
      <c r="D270" s="3" t="s">
        <v>99</v>
      </c>
      <c r="E270" s="4"/>
      <c r="F270" s="11" t="s">
        <v>1071</v>
      </c>
    </row>
    <row r="271" ht="15.75" customHeight="1">
      <c r="A271" s="3" t="s">
        <v>1072</v>
      </c>
      <c r="B271" s="4" t="s">
        <v>1073</v>
      </c>
      <c r="C271" s="4" t="s">
        <v>1074</v>
      </c>
      <c r="D271" s="3" t="s">
        <v>99</v>
      </c>
      <c r="E271" s="4"/>
      <c r="F271" s="11" t="s">
        <v>1075</v>
      </c>
    </row>
    <row r="272" ht="15.75" customHeight="1">
      <c r="A272" s="3" t="s">
        <v>1076</v>
      </c>
      <c r="B272" s="4" t="s">
        <v>1077</v>
      </c>
      <c r="C272" s="4" t="s">
        <v>1078</v>
      </c>
      <c r="D272" s="3" t="s">
        <v>99</v>
      </c>
      <c r="E272" s="4"/>
      <c r="F272" s="11" t="s">
        <v>1079</v>
      </c>
    </row>
    <row r="273" ht="15.75" customHeight="1">
      <c r="A273" s="3" t="s">
        <v>1080</v>
      </c>
      <c r="B273" s="4" t="s">
        <v>1081</v>
      </c>
      <c r="C273" s="4" t="s">
        <v>1082</v>
      </c>
      <c r="D273" s="3" t="s">
        <v>99</v>
      </c>
      <c r="E273" s="4"/>
      <c r="F273" s="11" t="s">
        <v>1083</v>
      </c>
    </row>
    <row r="274" ht="15.75" hidden="1" customHeight="1">
      <c r="A274" s="3" t="s">
        <v>1084</v>
      </c>
      <c r="B274" s="4" t="s">
        <v>1081</v>
      </c>
      <c r="C274" s="4" t="s">
        <v>1085</v>
      </c>
      <c r="D274" s="3" t="s">
        <v>38</v>
      </c>
      <c r="E274" s="4"/>
      <c r="F274" s="11" t="s">
        <v>1086</v>
      </c>
    </row>
    <row r="275" ht="15.75" customHeight="1">
      <c r="A275" s="3" t="s">
        <v>1087</v>
      </c>
      <c r="B275" s="4" t="s">
        <v>1088</v>
      </c>
      <c r="C275" s="4" t="s">
        <v>1089</v>
      </c>
      <c r="D275" s="3" t="s">
        <v>99</v>
      </c>
      <c r="E275" s="4"/>
      <c r="F275" s="11" t="s">
        <v>1090</v>
      </c>
    </row>
    <row r="276" ht="15.75" customHeight="1">
      <c r="A276" s="3" t="s">
        <v>1091</v>
      </c>
      <c r="B276" s="4" t="s">
        <v>1092</v>
      </c>
      <c r="C276" s="4" t="s">
        <v>1093</v>
      </c>
      <c r="D276" s="3" t="s">
        <v>99</v>
      </c>
      <c r="E276" s="4"/>
      <c r="F276" s="11" t="s">
        <v>1094</v>
      </c>
    </row>
    <row r="277" ht="15.75" customHeight="1">
      <c r="A277" s="3" t="s">
        <v>1095</v>
      </c>
      <c r="B277" s="4" t="s">
        <v>1096</v>
      </c>
      <c r="C277" s="4" t="s">
        <v>1042</v>
      </c>
      <c r="D277" s="3" t="s">
        <v>99</v>
      </c>
      <c r="E277" s="4"/>
      <c r="F277" s="11" t="s">
        <v>1097</v>
      </c>
    </row>
    <row r="278" ht="15.75" customHeight="1">
      <c r="A278" s="3" t="s">
        <v>1098</v>
      </c>
      <c r="B278" s="4" t="s">
        <v>1099</v>
      </c>
      <c r="C278" s="4" t="s">
        <v>1100</v>
      </c>
      <c r="D278" s="3" t="s">
        <v>99</v>
      </c>
      <c r="E278" s="4"/>
      <c r="F278" s="11" t="s">
        <v>1101</v>
      </c>
    </row>
    <row r="279" ht="15.75" customHeight="1">
      <c r="A279" s="3" t="s">
        <v>1102</v>
      </c>
      <c r="B279" s="4" t="s">
        <v>1096</v>
      </c>
      <c r="C279" s="4" t="s">
        <v>1103</v>
      </c>
      <c r="D279" s="3" t="s">
        <v>99</v>
      </c>
      <c r="E279" s="4"/>
      <c r="F279" s="11" t="s">
        <v>1104</v>
      </c>
    </row>
    <row r="280" ht="15.75" customHeight="1">
      <c r="A280" s="3" t="s">
        <v>1105</v>
      </c>
      <c r="B280" s="4" t="s">
        <v>1106</v>
      </c>
      <c r="C280" s="4" t="s">
        <v>1107</v>
      </c>
      <c r="D280" s="3" t="s">
        <v>99</v>
      </c>
      <c r="E280" s="4"/>
      <c r="F280" s="11" t="s">
        <v>1108</v>
      </c>
    </row>
    <row r="281" ht="15.75" hidden="1" customHeight="1">
      <c r="A281" s="3" t="s">
        <v>1109</v>
      </c>
      <c r="B281" s="4" t="s">
        <v>1110</v>
      </c>
      <c r="C281" s="4" t="s">
        <v>1111</v>
      </c>
      <c r="D281" s="3" t="s">
        <v>38</v>
      </c>
      <c r="E281" s="4"/>
      <c r="F281" s="11" t="s">
        <v>1112</v>
      </c>
    </row>
    <row r="282" ht="15.75" customHeight="1">
      <c r="A282" s="3" t="s">
        <v>1113</v>
      </c>
      <c r="B282" s="4" t="s">
        <v>1114</v>
      </c>
      <c r="C282" s="4" t="s">
        <v>1115</v>
      </c>
      <c r="D282" s="3" t="s">
        <v>99</v>
      </c>
      <c r="E282" s="4"/>
      <c r="F282" s="11" t="s">
        <v>1116</v>
      </c>
    </row>
    <row r="283" ht="15.75" hidden="1" customHeight="1">
      <c r="A283" s="3" t="s">
        <v>1117</v>
      </c>
      <c r="B283" s="4" t="s">
        <v>1118</v>
      </c>
      <c r="C283" s="4" t="s">
        <v>94</v>
      </c>
      <c r="D283" s="3" t="s">
        <v>38</v>
      </c>
      <c r="E283" s="4"/>
      <c r="F283" s="11" t="s">
        <v>1119</v>
      </c>
    </row>
    <row r="284" ht="15.75" customHeight="1">
      <c r="A284" s="3" t="s">
        <v>1120</v>
      </c>
      <c r="B284" s="4" t="s">
        <v>1121</v>
      </c>
      <c r="C284" s="4" t="s">
        <v>243</v>
      </c>
      <c r="D284" s="3" t="s">
        <v>99</v>
      </c>
      <c r="E284" s="4"/>
      <c r="F284" s="11" t="s">
        <v>1122</v>
      </c>
    </row>
    <row r="285" ht="15.75" customHeight="1">
      <c r="A285" s="3" t="s">
        <v>1123</v>
      </c>
      <c r="B285" s="4" t="s">
        <v>1124</v>
      </c>
      <c r="C285" s="4" t="s">
        <v>1125</v>
      </c>
      <c r="D285" s="3" t="s">
        <v>99</v>
      </c>
      <c r="E285" s="4"/>
      <c r="F285" s="11" t="s">
        <v>1126</v>
      </c>
    </row>
    <row r="286" ht="15.75" hidden="1" customHeight="1">
      <c r="A286" s="3" t="s">
        <v>1127</v>
      </c>
      <c r="B286" s="4" t="s">
        <v>1128</v>
      </c>
      <c r="C286" s="4" t="s">
        <v>1015</v>
      </c>
      <c r="D286" s="3" t="s">
        <v>38</v>
      </c>
      <c r="E286" s="4"/>
      <c r="F286" s="11" t="s">
        <v>1129</v>
      </c>
    </row>
    <row r="287" ht="15.75" hidden="1" customHeight="1">
      <c r="A287" s="3" t="s">
        <v>1130</v>
      </c>
      <c r="B287" s="4" t="s">
        <v>1131</v>
      </c>
      <c r="C287" s="4" t="s">
        <v>311</v>
      </c>
      <c r="D287" s="3" t="s">
        <v>38</v>
      </c>
      <c r="E287" s="4"/>
      <c r="F287" s="11" t="s">
        <v>1132</v>
      </c>
    </row>
    <row r="288" ht="15.75" hidden="1" customHeight="1">
      <c r="A288" s="3" t="s">
        <v>1133</v>
      </c>
      <c r="B288" s="4" t="s">
        <v>1134</v>
      </c>
      <c r="C288" s="4" t="s">
        <v>1135</v>
      </c>
      <c r="D288" s="3" t="s">
        <v>38</v>
      </c>
      <c r="E288" s="4"/>
      <c r="F288" s="11" t="s">
        <v>1136</v>
      </c>
    </row>
    <row r="289" ht="15.75" hidden="1" customHeight="1">
      <c r="A289" s="3" t="s">
        <v>1137</v>
      </c>
      <c r="B289" s="4" t="s">
        <v>719</v>
      </c>
      <c r="C289" s="4" t="s">
        <v>607</v>
      </c>
      <c r="D289" s="3" t="s">
        <v>38</v>
      </c>
      <c r="E289" s="4"/>
      <c r="F289" s="11" t="s">
        <v>1138</v>
      </c>
    </row>
    <row r="290" ht="15.75" customHeight="1">
      <c r="A290" s="3" t="s">
        <v>1139</v>
      </c>
      <c r="B290" s="4" t="s">
        <v>1140</v>
      </c>
      <c r="C290" s="4" t="s">
        <v>1141</v>
      </c>
      <c r="D290" s="3" t="s">
        <v>99</v>
      </c>
      <c r="E290" s="4"/>
      <c r="F290" s="11" t="s">
        <v>1142</v>
      </c>
    </row>
    <row r="291" ht="15.75" hidden="1" customHeight="1">
      <c r="A291" s="3" t="s">
        <v>1143</v>
      </c>
      <c r="B291" s="4" t="s">
        <v>719</v>
      </c>
      <c r="C291" s="4" t="s">
        <v>720</v>
      </c>
      <c r="D291" s="3" t="s">
        <v>38</v>
      </c>
      <c r="E291" s="4"/>
      <c r="F291" s="11" t="s">
        <v>1144</v>
      </c>
    </row>
    <row r="292" ht="15.75" customHeight="1">
      <c r="A292" s="3" t="s">
        <v>1145</v>
      </c>
      <c r="B292" s="4" t="s">
        <v>719</v>
      </c>
      <c r="C292" s="4" t="s">
        <v>94</v>
      </c>
      <c r="D292" s="3" t="s">
        <v>99</v>
      </c>
      <c r="E292" s="4"/>
      <c r="F292" s="11" t="s">
        <v>1146</v>
      </c>
    </row>
    <row r="293" ht="15.75" hidden="1" customHeight="1">
      <c r="A293" s="3" t="s">
        <v>1147</v>
      </c>
      <c r="B293" s="4" t="s">
        <v>1148</v>
      </c>
      <c r="C293" s="4" t="s">
        <v>409</v>
      </c>
      <c r="D293" s="3" t="s">
        <v>38</v>
      </c>
      <c r="E293" s="4"/>
      <c r="F293" s="11" t="s">
        <v>1149</v>
      </c>
    </row>
    <row r="294" ht="15.75" customHeight="1">
      <c r="A294" s="3" t="s">
        <v>1150</v>
      </c>
      <c r="B294" s="4" t="s">
        <v>1148</v>
      </c>
      <c r="C294" s="4" t="s">
        <v>1115</v>
      </c>
      <c r="D294" s="3" t="s">
        <v>99</v>
      </c>
      <c r="E294" s="4"/>
      <c r="F294" s="11" t="s">
        <v>1151</v>
      </c>
    </row>
    <row r="295" ht="15.75" customHeight="1">
      <c r="A295" s="3" t="s">
        <v>1152</v>
      </c>
      <c r="B295" s="4" t="s">
        <v>1153</v>
      </c>
      <c r="C295" s="4" t="s">
        <v>1154</v>
      </c>
      <c r="D295" s="3" t="s">
        <v>99</v>
      </c>
      <c r="E295" s="4"/>
      <c r="F295" s="11" t="s">
        <v>1155</v>
      </c>
    </row>
    <row r="296" ht="15.75" customHeight="1">
      <c r="A296" s="3" t="s">
        <v>1156</v>
      </c>
      <c r="B296" s="4" t="s">
        <v>509</v>
      </c>
      <c r="C296" s="4" t="s">
        <v>1157</v>
      </c>
      <c r="D296" s="3" t="s">
        <v>99</v>
      </c>
      <c r="E296" s="4"/>
      <c r="F296" s="11" t="s">
        <v>1158</v>
      </c>
    </row>
    <row r="297" ht="15.75" hidden="1" customHeight="1">
      <c r="A297" s="3" t="s">
        <v>1159</v>
      </c>
      <c r="B297" s="4" t="s">
        <v>1160</v>
      </c>
      <c r="C297" s="4" t="s">
        <v>190</v>
      </c>
      <c r="D297" s="3" t="s">
        <v>38</v>
      </c>
      <c r="E297" s="4"/>
      <c r="F297" s="11" t="s">
        <v>1161</v>
      </c>
    </row>
    <row r="298" ht="15.75" customHeight="1">
      <c r="A298" s="3" t="s">
        <v>1162</v>
      </c>
      <c r="B298" s="4" t="s">
        <v>1163</v>
      </c>
      <c r="C298" s="4" t="s">
        <v>1164</v>
      </c>
      <c r="D298" s="3" t="s">
        <v>99</v>
      </c>
      <c r="E298" s="4"/>
      <c r="F298" s="11" t="s">
        <v>1165</v>
      </c>
    </row>
    <row r="299" ht="15.75" customHeight="1">
      <c r="A299" s="3" t="s">
        <v>1166</v>
      </c>
      <c r="B299" s="4" t="s">
        <v>1167</v>
      </c>
      <c r="C299" s="4" t="s">
        <v>829</v>
      </c>
      <c r="D299" s="3" t="s">
        <v>99</v>
      </c>
      <c r="E299" s="4"/>
      <c r="F299" s="11" t="s">
        <v>1168</v>
      </c>
    </row>
    <row r="300" ht="15.75" customHeight="1">
      <c r="A300" s="3" t="s">
        <v>1169</v>
      </c>
      <c r="B300" s="4" t="s">
        <v>1170</v>
      </c>
      <c r="C300" s="4" t="s">
        <v>1171</v>
      </c>
      <c r="D300" s="3" t="s">
        <v>99</v>
      </c>
      <c r="E300" s="4"/>
      <c r="F300" s="11" t="s">
        <v>1172</v>
      </c>
    </row>
    <row r="301" ht="15.75" customHeight="1">
      <c r="A301" s="3" t="s">
        <v>1173</v>
      </c>
      <c r="B301" s="4" t="s">
        <v>1174</v>
      </c>
      <c r="C301" s="4" t="s">
        <v>145</v>
      </c>
      <c r="D301" s="3" t="s">
        <v>99</v>
      </c>
      <c r="E301" s="4"/>
      <c r="F301" s="11" t="s">
        <v>1175</v>
      </c>
    </row>
    <row r="302" ht="15.75" hidden="1" customHeight="1">
      <c r="A302" s="3" t="s">
        <v>1176</v>
      </c>
      <c r="B302" s="4" t="s">
        <v>1177</v>
      </c>
      <c r="C302" s="4" t="s">
        <v>1085</v>
      </c>
      <c r="D302" s="3" t="s">
        <v>38</v>
      </c>
      <c r="E302" s="4"/>
      <c r="F302" s="11" t="s">
        <v>1178</v>
      </c>
    </row>
    <row r="303" ht="15.75" customHeight="1">
      <c r="A303" s="3" t="s">
        <v>1179</v>
      </c>
      <c r="B303" s="4" t="s">
        <v>1180</v>
      </c>
      <c r="C303" s="4" t="s">
        <v>1181</v>
      </c>
      <c r="D303" s="3" t="s">
        <v>99</v>
      </c>
      <c r="E303" s="4"/>
      <c r="F303" s="11" t="s">
        <v>1182</v>
      </c>
    </row>
    <row r="304" ht="15.75" hidden="1" customHeight="1">
      <c r="A304" s="3" t="s">
        <v>1183</v>
      </c>
      <c r="B304" s="4" t="s">
        <v>1184</v>
      </c>
      <c r="C304" s="4" t="s">
        <v>190</v>
      </c>
      <c r="D304" s="3" t="s">
        <v>38</v>
      </c>
      <c r="E304" s="4"/>
      <c r="F304" s="11" t="s">
        <v>1185</v>
      </c>
    </row>
    <row r="305" ht="15.75" customHeight="1">
      <c r="A305" s="3" t="s">
        <v>1186</v>
      </c>
      <c r="B305" s="4" t="s">
        <v>1187</v>
      </c>
      <c r="C305" s="4" t="s">
        <v>1188</v>
      </c>
      <c r="D305" s="3" t="s">
        <v>99</v>
      </c>
      <c r="E305" s="4"/>
      <c r="F305" s="11" t="s">
        <v>1189</v>
      </c>
    </row>
    <row r="306" ht="15.75" customHeight="1">
      <c r="A306" s="3" t="s">
        <v>1190</v>
      </c>
      <c r="B306" s="4" t="s">
        <v>1191</v>
      </c>
      <c r="C306" s="4" t="s">
        <v>1192</v>
      </c>
      <c r="D306" s="3" t="s">
        <v>99</v>
      </c>
      <c r="E306" s="4"/>
      <c r="F306" s="11" t="s">
        <v>1193</v>
      </c>
    </row>
    <row r="307" ht="15.75" customHeight="1">
      <c r="A307" s="3" t="s">
        <v>1194</v>
      </c>
      <c r="B307" s="4" t="s">
        <v>1195</v>
      </c>
      <c r="C307" s="4" t="s">
        <v>1196</v>
      </c>
      <c r="D307" s="3" t="s">
        <v>99</v>
      </c>
      <c r="E307" s="4"/>
      <c r="F307" s="11" t="s">
        <v>1197</v>
      </c>
    </row>
    <row r="308" ht="15.75" customHeight="1">
      <c r="A308" s="3" t="s">
        <v>1198</v>
      </c>
      <c r="B308" s="4" t="s">
        <v>1199</v>
      </c>
      <c r="C308" s="4" t="s">
        <v>677</v>
      </c>
      <c r="D308" s="3" t="s">
        <v>99</v>
      </c>
      <c r="E308" s="4"/>
      <c r="F308" s="11" t="s">
        <v>1200</v>
      </c>
    </row>
    <row r="309" ht="15.75" hidden="1" customHeight="1">
      <c r="A309" s="3" t="s">
        <v>1201</v>
      </c>
      <c r="B309" s="4" t="s">
        <v>1202</v>
      </c>
      <c r="C309" s="4" t="s">
        <v>1203</v>
      </c>
      <c r="D309" s="3" t="s">
        <v>38</v>
      </c>
      <c r="E309" s="4"/>
      <c r="F309" s="11" t="s">
        <v>1204</v>
      </c>
    </row>
    <row r="310" ht="15.75" customHeight="1">
      <c r="A310" s="3" t="s">
        <v>1205</v>
      </c>
      <c r="B310" s="4" t="s">
        <v>1206</v>
      </c>
      <c r="C310" s="4" t="s">
        <v>1207</v>
      </c>
      <c r="D310" s="3" t="s">
        <v>99</v>
      </c>
      <c r="E310" s="4"/>
      <c r="F310" s="11" t="s">
        <v>1208</v>
      </c>
    </row>
    <row r="311" ht="15.75" hidden="1" customHeight="1">
      <c r="A311" s="3" t="s">
        <v>1209</v>
      </c>
      <c r="B311" s="4" t="s">
        <v>1210</v>
      </c>
      <c r="C311" s="4" t="s">
        <v>469</v>
      </c>
      <c r="D311" s="3" t="s">
        <v>38</v>
      </c>
      <c r="E311" s="4"/>
      <c r="F311" s="11" t="s">
        <v>1211</v>
      </c>
    </row>
    <row r="312" ht="15.75" customHeight="1">
      <c r="A312" s="3" t="s">
        <v>1212</v>
      </c>
      <c r="B312" s="4" t="s">
        <v>1213</v>
      </c>
      <c r="C312" s="4" t="s">
        <v>1214</v>
      </c>
      <c r="D312" s="3" t="s">
        <v>99</v>
      </c>
      <c r="E312" s="4"/>
      <c r="F312" s="11" t="s">
        <v>1215</v>
      </c>
    </row>
    <row r="313" ht="15.75" customHeight="1">
      <c r="A313" s="3" t="s">
        <v>1216</v>
      </c>
      <c r="B313" s="4" t="s">
        <v>1217</v>
      </c>
      <c r="C313" s="4" t="s">
        <v>1218</v>
      </c>
      <c r="D313" s="3" t="s">
        <v>99</v>
      </c>
      <c r="E313" s="4"/>
      <c r="F313" s="11" t="s">
        <v>1219</v>
      </c>
    </row>
    <row r="314" ht="15.75" customHeight="1">
      <c r="A314" s="3" t="s">
        <v>1220</v>
      </c>
      <c r="B314" s="4" t="s">
        <v>1221</v>
      </c>
      <c r="C314" s="4" t="s">
        <v>1222</v>
      </c>
      <c r="D314" s="3" t="s">
        <v>99</v>
      </c>
      <c r="E314" s="4"/>
      <c r="F314" s="11" t="s">
        <v>1223</v>
      </c>
    </row>
    <row r="315" ht="15.75" hidden="1" customHeight="1">
      <c r="A315" s="3" t="s">
        <v>1224</v>
      </c>
      <c r="B315" s="4" t="s">
        <v>1225</v>
      </c>
      <c r="C315" s="4" t="s">
        <v>849</v>
      </c>
      <c r="D315" s="3" t="s">
        <v>38</v>
      </c>
      <c r="E315" s="4"/>
      <c r="F315" s="11" t="s">
        <v>1226</v>
      </c>
    </row>
    <row r="316" ht="15.75" hidden="1" customHeight="1">
      <c r="A316" s="3" t="s">
        <v>1227</v>
      </c>
      <c r="B316" s="4" t="s">
        <v>1225</v>
      </c>
      <c r="C316" s="4" t="s">
        <v>1228</v>
      </c>
      <c r="D316" s="3" t="s">
        <v>38</v>
      </c>
      <c r="E316" s="4"/>
      <c r="F316" s="11" t="s">
        <v>1229</v>
      </c>
    </row>
    <row r="317" ht="15.75" customHeight="1">
      <c r="A317" s="3" t="s">
        <v>1230</v>
      </c>
      <c r="B317" s="4" t="s">
        <v>1231</v>
      </c>
      <c r="C317" s="4" t="s">
        <v>1232</v>
      </c>
      <c r="D317" s="3" t="s">
        <v>99</v>
      </c>
      <c r="E317" s="4"/>
      <c r="F317" s="11" t="s">
        <v>1233</v>
      </c>
    </row>
    <row r="318" ht="15.75" customHeight="1">
      <c r="A318" s="3" t="s">
        <v>1234</v>
      </c>
      <c r="B318" s="4" t="s">
        <v>1235</v>
      </c>
      <c r="C318" s="4" t="s">
        <v>1236</v>
      </c>
      <c r="D318" s="3" t="s">
        <v>99</v>
      </c>
      <c r="E318" s="4"/>
      <c r="F318" s="11" t="s">
        <v>1237</v>
      </c>
    </row>
    <row r="319" ht="15.75" customHeight="1">
      <c r="A319" s="3" t="s">
        <v>1238</v>
      </c>
      <c r="B319" s="4" t="s">
        <v>1239</v>
      </c>
      <c r="C319" s="4" t="s">
        <v>1240</v>
      </c>
      <c r="D319" s="3" t="s">
        <v>99</v>
      </c>
      <c r="E319" s="4"/>
      <c r="F319" s="11" t="s">
        <v>1241</v>
      </c>
    </row>
    <row r="320" ht="15.75" customHeight="1">
      <c r="A320" s="3" t="s">
        <v>1242</v>
      </c>
      <c r="B320" s="4" t="s">
        <v>418</v>
      </c>
      <c r="C320" s="4" t="s">
        <v>1243</v>
      </c>
      <c r="D320" s="3" t="s">
        <v>99</v>
      </c>
      <c r="E320" s="4"/>
      <c r="F320" s="11" t="s">
        <v>1244</v>
      </c>
    </row>
    <row r="321" ht="15.75" customHeight="1">
      <c r="A321" s="3" t="s">
        <v>1245</v>
      </c>
      <c r="B321" s="4" t="s">
        <v>418</v>
      </c>
      <c r="C321" s="4" t="s">
        <v>1246</v>
      </c>
      <c r="D321" s="3" t="s">
        <v>99</v>
      </c>
      <c r="E321" s="4"/>
      <c r="F321" s="11" t="s">
        <v>1247</v>
      </c>
    </row>
    <row r="322" ht="15.75" customHeight="1">
      <c r="A322" s="3" t="s">
        <v>1248</v>
      </c>
      <c r="B322" s="4" t="s">
        <v>1249</v>
      </c>
      <c r="C322" s="4" t="s">
        <v>1250</v>
      </c>
      <c r="D322" s="3" t="s">
        <v>99</v>
      </c>
      <c r="E322" s="4"/>
      <c r="F322" s="11" t="s">
        <v>1251</v>
      </c>
    </row>
    <row r="323" ht="15.75" customHeight="1">
      <c r="A323" s="3" t="s">
        <v>1252</v>
      </c>
      <c r="B323" s="4" t="s">
        <v>1253</v>
      </c>
      <c r="C323" s="4" t="s">
        <v>1254</v>
      </c>
      <c r="D323" s="3" t="s">
        <v>99</v>
      </c>
      <c r="E323" s="4"/>
      <c r="F323" s="11" t="s">
        <v>1255</v>
      </c>
    </row>
    <row r="324" ht="15.75" hidden="1" customHeight="1">
      <c r="A324" s="3" t="s">
        <v>1256</v>
      </c>
      <c r="B324" s="4" t="s">
        <v>1257</v>
      </c>
      <c r="C324" s="4" t="s">
        <v>779</v>
      </c>
      <c r="D324" s="3" t="s">
        <v>38</v>
      </c>
      <c r="E324" s="4"/>
      <c r="F324" s="11" t="s">
        <v>1258</v>
      </c>
    </row>
    <row r="325" ht="15.75" customHeight="1">
      <c r="A325" s="3" t="s">
        <v>1259</v>
      </c>
      <c r="B325" s="4" t="s">
        <v>1260</v>
      </c>
      <c r="C325" s="4" t="s">
        <v>1261</v>
      </c>
      <c r="D325" s="3" t="s">
        <v>99</v>
      </c>
      <c r="E325" s="4"/>
      <c r="F325" s="11" t="s">
        <v>1262</v>
      </c>
    </row>
    <row r="326" ht="15.75" customHeight="1">
      <c r="A326" s="3" t="s">
        <v>1263</v>
      </c>
      <c r="B326" s="4" t="s">
        <v>1260</v>
      </c>
      <c r="C326" s="4" t="s">
        <v>1264</v>
      </c>
      <c r="D326" s="3" t="s">
        <v>99</v>
      </c>
      <c r="E326" s="4"/>
      <c r="F326" s="11" t="s">
        <v>1265</v>
      </c>
    </row>
    <row r="327" ht="15.75" customHeight="1">
      <c r="A327" s="3" t="s">
        <v>1266</v>
      </c>
      <c r="B327" s="4" t="s">
        <v>1267</v>
      </c>
      <c r="C327" s="4" t="s">
        <v>806</v>
      </c>
      <c r="D327" s="3" t="s">
        <v>99</v>
      </c>
      <c r="E327" s="4"/>
      <c r="F327" s="11" t="s">
        <v>1268</v>
      </c>
    </row>
    <row r="328" ht="15.75" customHeight="1">
      <c r="A328" s="3" t="s">
        <v>1269</v>
      </c>
      <c r="B328" s="4" t="s">
        <v>1239</v>
      </c>
      <c r="C328" s="4" t="s">
        <v>1270</v>
      </c>
      <c r="D328" s="3" t="s">
        <v>99</v>
      </c>
      <c r="E328" s="4"/>
      <c r="F328" s="11" t="s">
        <v>1271</v>
      </c>
    </row>
    <row r="329" ht="15.75" customHeight="1">
      <c r="A329" s="3" t="s">
        <v>1272</v>
      </c>
      <c r="B329" s="4" t="s">
        <v>1273</v>
      </c>
      <c r="C329" s="4" t="s">
        <v>293</v>
      </c>
      <c r="D329" s="3" t="s">
        <v>99</v>
      </c>
      <c r="E329" s="4"/>
      <c r="F329" s="11" t="s">
        <v>1274</v>
      </c>
    </row>
    <row r="330" ht="15.75" customHeight="1">
      <c r="A330" s="3" t="s">
        <v>1275</v>
      </c>
      <c r="B330" s="4" t="s">
        <v>1276</v>
      </c>
      <c r="C330" s="4" t="s">
        <v>1277</v>
      </c>
      <c r="D330" s="3" t="s">
        <v>99</v>
      </c>
      <c r="E330" s="4"/>
      <c r="F330" s="11" t="s">
        <v>1278</v>
      </c>
    </row>
    <row r="331" ht="15.75" hidden="1" customHeight="1">
      <c r="A331" s="3" t="s">
        <v>1279</v>
      </c>
      <c r="B331" s="4" t="s">
        <v>1276</v>
      </c>
      <c r="C331" s="4" t="s">
        <v>1280</v>
      </c>
      <c r="D331" s="3" t="s">
        <v>38</v>
      </c>
      <c r="E331" s="4"/>
      <c r="F331" s="11" t="s">
        <v>1281</v>
      </c>
    </row>
    <row r="332" ht="15.75" customHeight="1">
      <c r="A332" s="3" t="s">
        <v>1282</v>
      </c>
      <c r="B332" s="4" t="s">
        <v>1283</v>
      </c>
      <c r="C332" s="4" t="s">
        <v>1284</v>
      </c>
      <c r="D332" s="3" t="s">
        <v>99</v>
      </c>
      <c r="E332" s="4"/>
      <c r="F332" s="11" t="s">
        <v>1285</v>
      </c>
    </row>
    <row r="333" ht="15.75" customHeight="1">
      <c r="A333" s="3" t="s">
        <v>1286</v>
      </c>
      <c r="B333" s="4" t="s">
        <v>1287</v>
      </c>
      <c r="C333" s="4" t="s">
        <v>390</v>
      </c>
      <c r="D333" s="3" t="s">
        <v>99</v>
      </c>
      <c r="E333" s="4"/>
      <c r="F333" s="11" t="s">
        <v>1288</v>
      </c>
    </row>
    <row r="334" ht="15.75" hidden="1" customHeight="1">
      <c r="A334" s="3" t="s">
        <v>1289</v>
      </c>
      <c r="B334" s="4" t="s">
        <v>1290</v>
      </c>
      <c r="C334" s="4" t="s">
        <v>1291</v>
      </c>
      <c r="D334" s="3" t="s">
        <v>38</v>
      </c>
      <c r="E334" s="4"/>
      <c r="F334" s="11" t="s">
        <v>1292</v>
      </c>
    </row>
    <row r="335" ht="15.75" hidden="1" customHeight="1">
      <c r="A335" s="3" t="s">
        <v>1293</v>
      </c>
      <c r="B335" s="4" t="s">
        <v>1294</v>
      </c>
      <c r="C335" s="4" t="s">
        <v>243</v>
      </c>
      <c r="D335" s="3" t="s">
        <v>38</v>
      </c>
      <c r="E335" s="4"/>
      <c r="F335" s="11" t="s">
        <v>1295</v>
      </c>
    </row>
    <row r="336" ht="15.75" customHeight="1">
      <c r="A336" s="3" t="s">
        <v>1296</v>
      </c>
      <c r="B336" s="4" t="s">
        <v>1297</v>
      </c>
      <c r="C336" s="4" t="s">
        <v>1298</v>
      </c>
      <c r="D336" s="3" t="s">
        <v>99</v>
      </c>
      <c r="E336" s="4"/>
      <c r="F336" s="11" t="s">
        <v>1299</v>
      </c>
    </row>
    <row r="337" ht="15.75" customHeight="1">
      <c r="A337" s="3" t="s">
        <v>1300</v>
      </c>
      <c r="B337" s="4" t="s">
        <v>937</v>
      </c>
      <c r="C337" s="4" t="s">
        <v>857</v>
      </c>
      <c r="D337" s="3" t="s">
        <v>99</v>
      </c>
      <c r="E337" s="4"/>
      <c r="F337" s="11" t="s">
        <v>1301</v>
      </c>
    </row>
    <row r="338" ht="15.75" customHeight="1">
      <c r="A338" s="3" t="s">
        <v>1302</v>
      </c>
      <c r="B338" s="4" t="s">
        <v>1303</v>
      </c>
      <c r="C338" s="4" t="s">
        <v>1304</v>
      </c>
      <c r="D338" s="3" t="s">
        <v>99</v>
      </c>
      <c r="E338" s="4"/>
      <c r="F338" s="11" t="s">
        <v>1305</v>
      </c>
    </row>
    <row r="339" ht="15.75" customHeight="1">
      <c r="A339" s="3" t="s">
        <v>1306</v>
      </c>
      <c r="B339" s="4" t="s">
        <v>1307</v>
      </c>
      <c r="C339" s="4" t="s">
        <v>1308</v>
      </c>
      <c r="D339" s="3" t="s">
        <v>99</v>
      </c>
      <c r="E339" s="4"/>
      <c r="F339" s="11" t="s">
        <v>1309</v>
      </c>
    </row>
    <row r="340" ht="15.75" customHeight="1">
      <c r="A340" s="3" t="s">
        <v>1310</v>
      </c>
      <c r="B340" s="4" t="s">
        <v>1311</v>
      </c>
      <c r="C340" s="4" t="s">
        <v>1312</v>
      </c>
      <c r="D340" s="3" t="s">
        <v>99</v>
      </c>
      <c r="E340" s="4"/>
      <c r="F340" s="11" t="s">
        <v>1313</v>
      </c>
    </row>
    <row r="341" ht="15.75" customHeight="1">
      <c r="A341" s="3" t="s">
        <v>1314</v>
      </c>
      <c r="B341" s="4" t="s">
        <v>1315</v>
      </c>
      <c r="C341" s="4" t="s">
        <v>1316</v>
      </c>
      <c r="D341" s="3" t="s">
        <v>99</v>
      </c>
      <c r="E341" s="4"/>
      <c r="F341" s="11" t="s">
        <v>1317</v>
      </c>
    </row>
    <row r="342" ht="15.75" hidden="1" customHeight="1">
      <c r="A342" s="3" t="s">
        <v>1318</v>
      </c>
      <c r="B342" s="4" t="s">
        <v>1319</v>
      </c>
      <c r="C342" s="4" t="s">
        <v>1320</v>
      </c>
      <c r="D342" s="3" t="s">
        <v>38</v>
      </c>
      <c r="E342" s="4"/>
      <c r="F342" s="11" t="s">
        <v>1321</v>
      </c>
    </row>
    <row r="343" ht="15.75" customHeight="1">
      <c r="A343" s="3" t="s">
        <v>1322</v>
      </c>
      <c r="B343" s="4" t="s">
        <v>1323</v>
      </c>
      <c r="C343" s="4" t="s">
        <v>1324</v>
      </c>
      <c r="D343" s="3" t="s">
        <v>99</v>
      </c>
      <c r="E343" s="4"/>
      <c r="F343" s="11" t="s">
        <v>1325</v>
      </c>
    </row>
    <row r="344" ht="15.75" hidden="1" customHeight="1">
      <c r="A344" s="3" t="s">
        <v>1326</v>
      </c>
      <c r="B344" s="4" t="s">
        <v>1327</v>
      </c>
      <c r="C344" s="4" t="s">
        <v>1328</v>
      </c>
      <c r="D344" s="3" t="s">
        <v>38</v>
      </c>
      <c r="E344" s="4"/>
      <c r="F344" s="11" t="s">
        <v>1329</v>
      </c>
    </row>
    <row r="345" ht="15.75" customHeight="1">
      <c r="A345" s="3" t="s">
        <v>1330</v>
      </c>
      <c r="B345" s="4" t="s">
        <v>1331</v>
      </c>
      <c r="C345" s="4" t="s">
        <v>1332</v>
      </c>
      <c r="D345" s="3" t="s">
        <v>99</v>
      </c>
      <c r="E345" s="4"/>
      <c r="F345" s="11" t="s">
        <v>1333</v>
      </c>
    </row>
    <row r="346" ht="15.75" customHeight="1">
      <c r="A346" s="3" t="s">
        <v>1334</v>
      </c>
      <c r="B346" s="4" t="s">
        <v>1335</v>
      </c>
      <c r="C346" s="4" t="s">
        <v>1336</v>
      </c>
      <c r="D346" s="3" t="s">
        <v>99</v>
      </c>
      <c r="E346" s="4"/>
      <c r="F346" s="11" t="s">
        <v>1337</v>
      </c>
    </row>
    <row r="347" ht="15.75" customHeight="1">
      <c r="A347" s="3" t="s">
        <v>1338</v>
      </c>
      <c r="B347" s="4" t="s">
        <v>1339</v>
      </c>
      <c r="C347" s="4" t="s">
        <v>1340</v>
      </c>
      <c r="D347" s="3" t="s">
        <v>99</v>
      </c>
      <c r="E347" s="4"/>
      <c r="F347" s="11" t="s">
        <v>1341</v>
      </c>
    </row>
    <row r="348" ht="15.75" customHeight="1">
      <c r="A348" s="3" t="s">
        <v>1342</v>
      </c>
      <c r="B348" s="4" t="s">
        <v>1343</v>
      </c>
      <c r="C348" s="4" t="s">
        <v>1344</v>
      </c>
      <c r="D348" s="3" t="s">
        <v>99</v>
      </c>
      <c r="E348" s="4"/>
      <c r="F348" s="11" t="s">
        <v>1345</v>
      </c>
    </row>
    <row r="349" ht="15.75" customHeight="1">
      <c r="A349" s="3" t="s">
        <v>1346</v>
      </c>
      <c r="B349" s="4" t="s">
        <v>1347</v>
      </c>
      <c r="C349" s="4" t="s">
        <v>1348</v>
      </c>
      <c r="D349" s="3" t="s">
        <v>99</v>
      </c>
      <c r="E349" s="4"/>
      <c r="F349" s="11" t="s">
        <v>1349</v>
      </c>
    </row>
    <row r="350" ht="15.75" customHeight="1">
      <c r="A350" s="3" t="s">
        <v>1350</v>
      </c>
      <c r="B350" s="4" t="s">
        <v>1351</v>
      </c>
      <c r="C350" s="4" t="s">
        <v>1240</v>
      </c>
      <c r="D350" s="3" t="s">
        <v>99</v>
      </c>
      <c r="E350" s="4"/>
      <c r="F350" s="11" t="s">
        <v>1352</v>
      </c>
    </row>
    <row r="351" ht="15.75" hidden="1" customHeight="1">
      <c r="A351" s="3" t="s">
        <v>1353</v>
      </c>
      <c r="B351" s="4" t="s">
        <v>1354</v>
      </c>
      <c r="C351" s="4" t="s">
        <v>1355</v>
      </c>
      <c r="D351" s="3" t="s">
        <v>38</v>
      </c>
      <c r="E351" s="4"/>
      <c r="F351" s="11" t="s">
        <v>1356</v>
      </c>
    </row>
    <row r="352" ht="15.75" customHeight="1">
      <c r="A352" s="3" t="s">
        <v>1357</v>
      </c>
      <c r="B352" s="4" t="s">
        <v>1358</v>
      </c>
      <c r="C352" s="4" t="s">
        <v>1359</v>
      </c>
      <c r="D352" s="3" t="s">
        <v>99</v>
      </c>
      <c r="E352" s="4"/>
      <c r="F352" s="11" t="s">
        <v>1360</v>
      </c>
    </row>
    <row r="353" ht="15.75" hidden="1" customHeight="1">
      <c r="A353" s="3" t="s">
        <v>1361</v>
      </c>
      <c r="B353" s="4" t="s">
        <v>1362</v>
      </c>
      <c r="C353" s="4" t="s">
        <v>1304</v>
      </c>
      <c r="D353" s="3" t="s">
        <v>38</v>
      </c>
      <c r="E353" s="4"/>
      <c r="F353" s="11" t="s">
        <v>1363</v>
      </c>
    </row>
    <row r="354" ht="15.75" customHeight="1">
      <c r="A354" s="3" t="s">
        <v>1364</v>
      </c>
      <c r="B354" s="4" t="s">
        <v>1365</v>
      </c>
      <c r="C354" s="4" t="s">
        <v>1366</v>
      </c>
      <c r="D354" s="3" t="s">
        <v>99</v>
      </c>
      <c r="E354" s="4"/>
      <c r="F354" s="11" t="s">
        <v>1367</v>
      </c>
    </row>
    <row r="355" ht="15.75" customHeight="1">
      <c r="A355" s="3" t="s">
        <v>1368</v>
      </c>
      <c r="B355" s="4" t="s">
        <v>1369</v>
      </c>
      <c r="C355" s="4" t="s">
        <v>390</v>
      </c>
      <c r="D355" s="3" t="s">
        <v>99</v>
      </c>
      <c r="E355" s="4"/>
      <c r="F355" s="11" t="s">
        <v>1370</v>
      </c>
    </row>
    <row r="356" ht="15.75" hidden="1" customHeight="1">
      <c r="A356" s="3" t="s">
        <v>1371</v>
      </c>
      <c r="B356" s="4" t="s">
        <v>1372</v>
      </c>
      <c r="C356" s="4" t="s">
        <v>1373</v>
      </c>
      <c r="D356" s="3" t="s">
        <v>38</v>
      </c>
      <c r="E356" s="4"/>
      <c r="F356" s="11" t="s">
        <v>1374</v>
      </c>
    </row>
    <row r="357" ht="15.75" customHeight="1">
      <c r="A357" s="3" t="s">
        <v>1375</v>
      </c>
      <c r="B357" s="4" t="s">
        <v>1376</v>
      </c>
      <c r="C357" s="4" t="s">
        <v>870</v>
      </c>
      <c r="D357" s="3" t="s">
        <v>99</v>
      </c>
      <c r="E357" s="4"/>
      <c r="F357" s="11" t="s">
        <v>1377</v>
      </c>
    </row>
    <row r="358" ht="15.75" customHeight="1">
      <c r="A358" s="3" t="s">
        <v>1378</v>
      </c>
      <c r="B358" s="4" t="s">
        <v>1379</v>
      </c>
      <c r="C358" s="4" t="s">
        <v>1380</v>
      </c>
      <c r="D358" s="3" t="s">
        <v>99</v>
      </c>
      <c r="E358" s="4"/>
      <c r="F358" s="11" t="s">
        <v>1381</v>
      </c>
    </row>
    <row r="359" ht="15.75" customHeight="1">
      <c r="A359" s="3" t="s">
        <v>1382</v>
      </c>
      <c r="B359" s="4" t="s">
        <v>1383</v>
      </c>
      <c r="C359" s="4" t="s">
        <v>1384</v>
      </c>
      <c r="D359" s="3" t="s">
        <v>99</v>
      </c>
      <c r="E359" s="4"/>
      <c r="F359" s="11" t="s">
        <v>1385</v>
      </c>
    </row>
    <row r="360" ht="15.75" customHeight="1">
      <c r="A360" s="3" t="s">
        <v>1386</v>
      </c>
      <c r="B360" s="4" t="s">
        <v>1387</v>
      </c>
      <c r="C360" s="4" t="s">
        <v>1388</v>
      </c>
      <c r="D360" s="3" t="s">
        <v>99</v>
      </c>
      <c r="E360" s="4"/>
      <c r="F360" s="11" t="s">
        <v>1389</v>
      </c>
    </row>
    <row r="361" ht="15.75" customHeight="1">
      <c r="A361" s="3" t="s">
        <v>1390</v>
      </c>
      <c r="B361" s="4" t="s">
        <v>1391</v>
      </c>
      <c r="C361" s="4" t="s">
        <v>1392</v>
      </c>
      <c r="D361" s="3" t="s">
        <v>99</v>
      </c>
      <c r="E361" s="4"/>
      <c r="F361" s="11" t="s">
        <v>1393</v>
      </c>
    </row>
    <row r="362" ht="15.75" customHeight="1">
      <c r="A362" s="3" t="s">
        <v>1394</v>
      </c>
      <c r="B362" s="4" t="s">
        <v>1395</v>
      </c>
      <c r="C362" s="4" t="s">
        <v>1396</v>
      </c>
      <c r="D362" s="3" t="s">
        <v>99</v>
      </c>
      <c r="E362" s="4"/>
      <c r="F362" s="11" t="s">
        <v>1397</v>
      </c>
    </row>
    <row r="363" ht="15.75" hidden="1" customHeight="1">
      <c r="A363" s="3" t="s">
        <v>1398</v>
      </c>
      <c r="B363" s="4" t="s">
        <v>1395</v>
      </c>
      <c r="C363" s="4" t="s">
        <v>1399</v>
      </c>
      <c r="D363" s="3" t="s">
        <v>38</v>
      </c>
      <c r="E363" s="4"/>
      <c r="F363" s="11" t="s">
        <v>1400</v>
      </c>
    </row>
    <row r="364" ht="15.75" customHeight="1">
      <c r="A364" s="3" t="s">
        <v>1401</v>
      </c>
      <c r="B364" s="4" t="s">
        <v>1402</v>
      </c>
      <c r="C364" s="4" t="s">
        <v>1403</v>
      </c>
      <c r="D364" s="3" t="s">
        <v>99</v>
      </c>
      <c r="E364" s="4"/>
      <c r="F364" s="11" t="s">
        <v>1404</v>
      </c>
    </row>
    <row r="365" ht="15.75" customHeight="1">
      <c r="A365" s="3" t="s">
        <v>1405</v>
      </c>
      <c r="B365" s="4" t="s">
        <v>1406</v>
      </c>
      <c r="C365" s="4" t="s">
        <v>297</v>
      </c>
      <c r="D365" s="3" t="s">
        <v>99</v>
      </c>
      <c r="E365" s="4"/>
      <c r="F365" s="11" t="s">
        <v>1407</v>
      </c>
    </row>
    <row r="366" ht="15.75" hidden="1" customHeight="1">
      <c r="A366" s="3" t="s">
        <v>1408</v>
      </c>
      <c r="B366" s="4" t="s">
        <v>1409</v>
      </c>
      <c r="C366" s="4" t="s">
        <v>1410</v>
      </c>
      <c r="D366" s="3" t="s">
        <v>38</v>
      </c>
      <c r="E366" s="4"/>
      <c r="F366" s="11" t="s">
        <v>1411</v>
      </c>
    </row>
    <row r="367" ht="15.75" hidden="1" customHeight="1">
      <c r="A367" s="3" t="s">
        <v>1412</v>
      </c>
      <c r="B367" s="4" t="s">
        <v>1409</v>
      </c>
      <c r="C367" s="4" t="s">
        <v>1413</v>
      </c>
      <c r="D367" s="3" t="s">
        <v>38</v>
      </c>
      <c r="E367" s="4"/>
      <c r="F367" s="11" t="s">
        <v>1414</v>
      </c>
    </row>
    <row r="368" ht="15.75" hidden="1" customHeight="1">
      <c r="A368" s="3" t="s">
        <v>1415</v>
      </c>
      <c r="B368" s="4" t="s">
        <v>896</v>
      </c>
      <c r="C368" s="4" t="s">
        <v>1085</v>
      </c>
      <c r="D368" s="3" t="s">
        <v>38</v>
      </c>
      <c r="E368" s="4"/>
      <c r="F368" s="11" t="s">
        <v>1416</v>
      </c>
    </row>
    <row r="369" ht="15.75" hidden="1" customHeight="1">
      <c r="A369" s="3" t="s">
        <v>1417</v>
      </c>
      <c r="B369" s="4" t="s">
        <v>1418</v>
      </c>
      <c r="C369" s="4" t="s">
        <v>1419</v>
      </c>
      <c r="D369" s="3" t="s">
        <v>38</v>
      </c>
      <c r="E369" s="4"/>
      <c r="F369" s="11" t="s">
        <v>1420</v>
      </c>
    </row>
    <row r="370" ht="15.75" hidden="1" customHeight="1">
      <c r="A370" s="3" t="s">
        <v>1421</v>
      </c>
      <c r="B370" s="4" t="s">
        <v>1422</v>
      </c>
      <c r="C370" s="4" t="s">
        <v>637</v>
      </c>
      <c r="D370" s="3" t="s">
        <v>38</v>
      </c>
      <c r="E370" s="4"/>
      <c r="F370" s="11" t="s">
        <v>1423</v>
      </c>
    </row>
    <row r="371" ht="15.75" customHeight="1">
      <c r="A371" s="3" t="s">
        <v>1424</v>
      </c>
      <c r="B371" s="4" t="s">
        <v>1422</v>
      </c>
      <c r="C371" s="4" t="s">
        <v>1425</v>
      </c>
      <c r="D371" s="3" t="s">
        <v>99</v>
      </c>
      <c r="E371" s="4"/>
      <c r="F371" s="11" t="s">
        <v>1426</v>
      </c>
    </row>
    <row r="372" ht="15.75" customHeight="1">
      <c r="A372" s="3" t="s">
        <v>1427</v>
      </c>
      <c r="B372" s="4" t="s">
        <v>1428</v>
      </c>
      <c r="C372" s="4" t="s">
        <v>1429</v>
      </c>
      <c r="D372" s="3" t="s">
        <v>99</v>
      </c>
      <c r="E372" s="4"/>
      <c r="F372" s="11" t="s">
        <v>1430</v>
      </c>
    </row>
    <row r="373" ht="15.75" customHeight="1">
      <c r="A373" s="3" t="s">
        <v>1431</v>
      </c>
      <c r="B373" s="4" t="s">
        <v>1432</v>
      </c>
      <c r="C373" s="4" t="s">
        <v>1433</v>
      </c>
      <c r="D373" s="3" t="s">
        <v>99</v>
      </c>
      <c r="E373" s="4"/>
      <c r="F373" s="11" t="s">
        <v>1434</v>
      </c>
    </row>
    <row r="374" ht="15.75" customHeight="1">
      <c r="A374" s="3"/>
      <c r="D374" s="17" t="s">
        <v>99</v>
      </c>
      <c r="F374" s="11" t="s">
        <v>1435</v>
      </c>
    </row>
    <row r="375" ht="15.75" hidden="1" customHeight="1">
      <c r="A375" s="3" t="s">
        <v>1436</v>
      </c>
      <c r="B375" s="18" t="s">
        <v>1437</v>
      </c>
      <c r="C375" s="18" t="s">
        <v>1438</v>
      </c>
      <c r="D375" s="17" t="s">
        <v>38</v>
      </c>
      <c r="F375" s="11" t="s">
        <v>1439</v>
      </c>
    </row>
    <row r="376" ht="15.75" customHeight="1">
      <c r="A376" s="3"/>
      <c r="D376" s="17" t="s">
        <v>99</v>
      </c>
      <c r="F376" s="11" t="s">
        <v>1435</v>
      </c>
    </row>
    <row r="377" ht="15.75" hidden="1" customHeight="1">
      <c r="D377" s="19"/>
      <c r="F377" s="11" t="s">
        <v>1435</v>
      </c>
    </row>
    <row r="378" ht="15.75" hidden="1" customHeight="1">
      <c r="D378" s="19"/>
      <c r="F378" s="11" t="s">
        <v>1435</v>
      </c>
    </row>
    <row r="379" ht="15.75" hidden="1" customHeight="1">
      <c r="D379" s="19"/>
      <c r="F379" s="11" t="s">
        <v>1435</v>
      </c>
    </row>
    <row r="380" ht="15.75" hidden="1" customHeight="1">
      <c r="D380" s="19"/>
      <c r="F380" s="11" t="s">
        <v>1435</v>
      </c>
    </row>
    <row r="381" ht="15.75" hidden="1" customHeight="1">
      <c r="D381" s="19"/>
      <c r="F381" s="11" t="s">
        <v>1435</v>
      </c>
    </row>
    <row r="382" ht="15.75" hidden="1" customHeight="1">
      <c r="D382" s="19"/>
      <c r="F382" s="11" t="s">
        <v>1435</v>
      </c>
    </row>
    <row r="383" ht="15.75" hidden="1" customHeight="1">
      <c r="D383" s="19"/>
      <c r="F383" s="11" t="s">
        <v>1435</v>
      </c>
    </row>
    <row r="384" ht="15.75" hidden="1" customHeight="1">
      <c r="D384" s="19"/>
      <c r="F384" s="11" t="s">
        <v>1435</v>
      </c>
    </row>
    <row r="385" ht="15.75" hidden="1" customHeight="1">
      <c r="D385" s="19"/>
      <c r="F385" s="11" t="s">
        <v>1435</v>
      </c>
    </row>
    <row r="386" ht="15.75" hidden="1" customHeight="1">
      <c r="D386" s="19"/>
      <c r="F386" s="11" t="s">
        <v>1435</v>
      </c>
    </row>
    <row r="387" ht="15.75" hidden="1" customHeight="1">
      <c r="D387" s="19"/>
      <c r="F387" s="11" t="s">
        <v>1435</v>
      </c>
    </row>
    <row r="388" ht="15.75" hidden="1" customHeight="1">
      <c r="D388" s="19"/>
      <c r="F388" s="11" t="s">
        <v>1435</v>
      </c>
    </row>
    <row r="389" ht="15.75" hidden="1" customHeight="1">
      <c r="D389" s="19"/>
      <c r="F389" s="11" t="s">
        <v>1435</v>
      </c>
    </row>
    <row r="390" ht="15.75" hidden="1" customHeight="1">
      <c r="D390" s="19"/>
      <c r="F390" s="11" t="s">
        <v>1435</v>
      </c>
    </row>
    <row r="391" ht="15.75" hidden="1" customHeight="1">
      <c r="D391" s="19"/>
      <c r="F391" s="11" t="s">
        <v>1435</v>
      </c>
    </row>
    <row r="392" ht="15.75" hidden="1" customHeight="1">
      <c r="D392" s="19"/>
      <c r="F392" s="11" t="s">
        <v>1435</v>
      </c>
    </row>
    <row r="393" ht="15.75" hidden="1" customHeight="1">
      <c r="D393" s="19"/>
      <c r="F393" s="11" t="s">
        <v>1435</v>
      </c>
    </row>
    <row r="394" ht="15.75" hidden="1" customHeight="1">
      <c r="D394" s="19"/>
      <c r="F394" s="11" t="s">
        <v>1435</v>
      </c>
    </row>
    <row r="395" ht="15.75" hidden="1" customHeight="1">
      <c r="D395" s="19"/>
      <c r="F395" s="11" t="s">
        <v>1435</v>
      </c>
    </row>
    <row r="396" ht="15.75" hidden="1" customHeight="1">
      <c r="D396" s="19"/>
      <c r="F396" s="11" t="s">
        <v>1435</v>
      </c>
    </row>
    <row r="397" ht="15.75" hidden="1" customHeight="1">
      <c r="D397" s="19"/>
      <c r="F397" s="11" t="s">
        <v>1435</v>
      </c>
    </row>
    <row r="398" ht="15.75" hidden="1" customHeight="1">
      <c r="D398" s="19"/>
      <c r="F398" s="11" t="s">
        <v>1435</v>
      </c>
    </row>
    <row r="399" ht="15.75" hidden="1" customHeight="1">
      <c r="D399" s="19"/>
      <c r="F399" s="11" t="s">
        <v>1435</v>
      </c>
    </row>
    <row r="400" ht="15.75" hidden="1" customHeight="1">
      <c r="D400" s="19"/>
      <c r="F400" s="11" t="s">
        <v>1435</v>
      </c>
    </row>
    <row r="401" ht="15.75" hidden="1" customHeight="1">
      <c r="D401" s="19"/>
      <c r="F401" s="11" t="s">
        <v>1435</v>
      </c>
    </row>
    <row r="402" ht="15.75" hidden="1" customHeight="1">
      <c r="D402" s="19"/>
      <c r="F402" s="11" t="s">
        <v>1435</v>
      </c>
    </row>
    <row r="403" ht="15.75" hidden="1" customHeight="1">
      <c r="D403" s="19"/>
      <c r="F403" s="11" t="s">
        <v>1435</v>
      </c>
    </row>
    <row r="404" ht="15.75" hidden="1" customHeight="1">
      <c r="D404" s="19"/>
      <c r="F404" s="11" t="s">
        <v>1435</v>
      </c>
    </row>
    <row r="405" ht="15.75" hidden="1" customHeight="1">
      <c r="D405" s="19"/>
      <c r="F405" s="11" t="s">
        <v>1435</v>
      </c>
    </row>
    <row r="406" ht="15.75" hidden="1" customHeight="1">
      <c r="D406" s="19"/>
      <c r="F406" s="11" t="s">
        <v>1435</v>
      </c>
    </row>
    <row r="407" ht="15.75" hidden="1" customHeight="1">
      <c r="D407" s="19"/>
      <c r="F407" s="11" t="s">
        <v>1435</v>
      </c>
    </row>
    <row r="408" ht="15.75" hidden="1" customHeight="1">
      <c r="D408" s="19"/>
      <c r="F408" s="11" t="s">
        <v>1435</v>
      </c>
    </row>
    <row r="409" ht="15.75" hidden="1" customHeight="1">
      <c r="D409" s="19"/>
      <c r="F409" s="11" t="s">
        <v>1435</v>
      </c>
    </row>
    <row r="410" ht="15.75" hidden="1" customHeight="1">
      <c r="D410" s="19"/>
      <c r="F410" s="11" t="s">
        <v>1435</v>
      </c>
    </row>
    <row r="411" ht="15.75" hidden="1" customHeight="1">
      <c r="D411" s="19"/>
      <c r="F411" s="11" t="s">
        <v>1435</v>
      </c>
    </row>
    <row r="412" ht="15.75" hidden="1" customHeight="1">
      <c r="D412" s="19"/>
      <c r="F412" s="11" t="s">
        <v>1435</v>
      </c>
    </row>
    <row r="413" ht="15.75" hidden="1" customHeight="1">
      <c r="D413" s="19"/>
      <c r="F413" s="11" t="s">
        <v>1435</v>
      </c>
    </row>
    <row r="414" ht="15.75" hidden="1" customHeight="1">
      <c r="D414" s="19"/>
      <c r="F414" s="11" t="s">
        <v>1435</v>
      </c>
    </row>
    <row r="415" ht="15.75" hidden="1" customHeight="1">
      <c r="D415" s="19"/>
      <c r="F415" s="11" t="s">
        <v>1435</v>
      </c>
    </row>
    <row r="416" ht="15.75" hidden="1" customHeight="1">
      <c r="D416" s="19"/>
      <c r="F416" s="11" t="s">
        <v>1435</v>
      </c>
    </row>
    <row r="417" ht="15.75" hidden="1" customHeight="1">
      <c r="D417" s="19"/>
      <c r="F417" s="11" t="s">
        <v>1435</v>
      </c>
    </row>
    <row r="418" ht="15.75" hidden="1" customHeight="1">
      <c r="D418" s="19"/>
      <c r="F418" s="11" t="s">
        <v>1435</v>
      </c>
    </row>
    <row r="419" ht="15.75" hidden="1" customHeight="1">
      <c r="D419" s="19"/>
      <c r="F419" s="11" t="s">
        <v>1435</v>
      </c>
    </row>
    <row r="420" ht="15.75" hidden="1" customHeight="1">
      <c r="D420" s="19"/>
      <c r="F420" s="11" t="s">
        <v>1435</v>
      </c>
    </row>
    <row r="421" ht="15.75" hidden="1" customHeight="1">
      <c r="D421" s="19"/>
      <c r="F421" s="11" t="s">
        <v>1435</v>
      </c>
    </row>
    <row r="422" ht="15.75" hidden="1" customHeight="1">
      <c r="D422" s="19"/>
      <c r="F422" s="11" t="s">
        <v>1435</v>
      </c>
    </row>
    <row r="423" ht="15.75" hidden="1" customHeight="1">
      <c r="D423" s="19"/>
      <c r="F423" s="11" t="s">
        <v>1435</v>
      </c>
    </row>
    <row r="424" ht="15.75" hidden="1" customHeight="1">
      <c r="D424" s="19"/>
      <c r="F424" s="11" t="s">
        <v>1435</v>
      </c>
    </row>
    <row r="425" ht="15.75" hidden="1" customHeight="1">
      <c r="D425" s="19"/>
      <c r="F425" s="11" t="s">
        <v>1435</v>
      </c>
    </row>
    <row r="426" ht="15.75" hidden="1" customHeight="1">
      <c r="D426" s="19"/>
      <c r="F426" s="11" t="s">
        <v>1435</v>
      </c>
    </row>
    <row r="427" ht="15.75" hidden="1" customHeight="1">
      <c r="D427" s="19"/>
      <c r="F427" s="11" t="s">
        <v>1435</v>
      </c>
    </row>
    <row r="428" ht="15.75" hidden="1" customHeight="1">
      <c r="D428" s="19"/>
      <c r="F428" s="11" t="s">
        <v>1435</v>
      </c>
    </row>
    <row r="429" ht="15.75" hidden="1" customHeight="1">
      <c r="D429" s="19"/>
      <c r="F429" s="11" t="s">
        <v>1435</v>
      </c>
    </row>
    <row r="430" ht="15.75" hidden="1" customHeight="1">
      <c r="D430" s="19"/>
      <c r="F430" s="11" t="s">
        <v>1435</v>
      </c>
    </row>
    <row r="431" ht="15.75" hidden="1" customHeight="1">
      <c r="D431" s="19"/>
      <c r="F431" s="11" t="s">
        <v>1435</v>
      </c>
    </row>
    <row r="432" ht="15.75" hidden="1" customHeight="1">
      <c r="D432" s="19"/>
      <c r="F432" s="11" t="s">
        <v>1435</v>
      </c>
    </row>
    <row r="433" ht="15.75" hidden="1" customHeight="1">
      <c r="D433" s="19"/>
      <c r="F433" s="11" t="s">
        <v>1435</v>
      </c>
    </row>
    <row r="434" ht="15.75" hidden="1" customHeight="1">
      <c r="D434" s="19"/>
      <c r="F434" s="11" t="s">
        <v>1435</v>
      </c>
    </row>
    <row r="435" ht="15.75" hidden="1" customHeight="1">
      <c r="D435" s="19"/>
      <c r="F435" s="11" t="s">
        <v>1435</v>
      </c>
    </row>
    <row r="436" ht="15.75" hidden="1" customHeight="1">
      <c r="D436" s="19"/>
      <c r="F436" s="11" t="s">
        <v>1435</v>
      </c>
    </row>
    <row r="437" ht="15.75" hidden="1" customHeight="1">
      <c r="D437" s="19"/>
      <c r="F437" s="11" t="s">
        <v>1435</v>
      </c>
    </row>
    <row r="438" ht="15.75" hidden="1" customHeight="1">
      <c r="D438" s="19"/>
      <c r="F438" s="11" t="s">
        <v>1435</v>
      </c>
    </row>
    <row r="439" ht="15.75" hidden="1" customHeight="1">
      <c r="D439" s="19"/>
      <c r="F439" s="11" t="s">
        <v>1435</v>
      </c>
    </row>
    <row r="440" ht="15.75" hidden="1" customHeight="1">
      <c r="D440" s="19"/>
      <c r="F440" s="11" t="s">
        <v>1435</v>
      </c>
    </row>
    <row r="441" ht="15.75" hidden="1" customHeight="1">
      <c r="D441" s="19"/>
      <c r="F441" s="11" t="s">
        <v>1435</v>
      </c>
    </row>
    <row r="442" ht="15.75" hidden="1" customHeight="1">
      <c r="D442" s="19"/>
      <c r="F442" s="11" t="s">
        <v>1435</v>
      </c>
    </row>
    <row r="443" ht="15.75" hidden="1" customHeight="1">
      <c r="D443" s="19"/>
      <c r="F443" s="11" t="s">
        <v>1435</v>
      </c>
    </row>
    <row r="444" ht="15.75" hidden="1" customHeight="1">
      <c r="D444" s="19"/>
      <c r="F444" s="11" t="s">
        <v>1435</v>
      </c>
    </row>
    <row r="445" ht="15.75" hidden="1" customHeight="1">
      <c r="D445" s="19"/>
      <c r="F445" s="11" t="s">
        <v>1435</v>
      </c>
    </row>
    <row r="446" ht="15.75" hidden="1" customHeight="1">
      <c r="D446" s="19"/>
      <c r="F446" s="11" t="s">
        <v>1435</v>
      </c>
    </row>
    <row r="447" ht="15.75" hidden="1" customHeight="1">
      <c r="D447" s="19"/>
      <c r="F447" s="11" t="s">
        <v>1435</v>
      </c>
    </row>
    <row r="448" ht="15.75" hidden="1" customHeight="1">
      <c r="D448" s="19"/>
      <c r="F448" s="11" t="s">
        <v>1435</v>
      </c>
    </row>
    <row r="449" ht="15.75" hidden="1" customHeight="1">
      <c r="D449" s="19"/>
      <c r="F449" s="11" t="s">
        <v>1435</v>
      </c>
    </row>
    <row r="450" ht="15.75" hidden="1" customHeight="1">
      <c r="D450" s="19"/>
      <c r="F450" s="11" t="s">
        <v>1435</v>
      </c>
    </row>
    <row r="451" ht="15.75" hidden="1" customHeight="1">
      <c r="D451" s="19"/>
      <c r="F451" s="11" t="s">
        <v>1435</v>
      </c>
    </row>
    <row r="452" ht="15.75" hidden="1" customHeight="1">
      <c r="D452" s="19"/>
      <c r="F452" s="11" t="s">
        <v>1435</v>
      </c>
    </row>
    <row r="453" ht="15.75" hidden="1" customHeight="1">
      <c r="D453" s="19"/>
      <c r="F453" s="11" t="s">
        <v>1435</v>
      </c>
    </row>
    <row r="454" ht="15.75" hidden="1" customHeight="1">
      <c r="D454" s="19"/>
      <c r="F454" s="11" t="s">
        <v>1435</v>
      </c>
    </row>
    <row r="455" ht="15.75" hidden="1" customHeight="1">
      <c r="D455" s="19"/>
      <c r="F455" s="11" t="s">
        <v>1435</v>
      </c>
    </row>
    <row r="456" ht="15.75" hidden="1" customHeight="1">
      <c r="D456" s="19"/>
      <c r="F456" s="11" t="s">
        <v>1435</v>
      </c>
    </row>
    <row r="457" ht="15.75" hidden="1" customHeight="1">
      <c r="D457" s="19"/>
      <c r="F457" s="11" t="s">
        <v>1435</v>
      </c>
    </row>
    <row r="458" ht="15.75" hidden="1" customHeight="1">
      <c r="D458" s="19"/>
      <c r="F458" s="11" t="s">
        <v>1435</v>
      </c>
    </row>
    <row r="459" ht="15.75" hidden="1" customHeight="1">
      <c r="D459" s="19"/>
      <c r="F459" s="11" t="s">
        <v>1435</v>
      </c>
    </row>
    <row r="460" ht="15.75" hidden="1" customHeight="1">
      <c r="D460" s="19"/>
      <c r="F460" s="11" t="s">
        <v>1435</v>
      </c>
    </row>
    <row r="461" ht="15.75" hidden="1" customHeight="1">
      <c r="D461" s="19"/>
      <c r="F461" s="11" t="s">
        <v>1435</v>
      </c>
    </row>
    <row r="462" ht="15.75" hidden="1" customHeight="1">
      <c r="D462" s="19"/>
      <c r="F462" s="11" t="s">
        <v>1435</v>
      </c>
    </row>
    <row r="463" ht="15.75" hidden="1" customHeight="1">
      <c r="D463" s="19"/>
      <c r="F463" s="11" t="s">
        <v>1435</v>
      </c>
    </row>
    <row r="464" ht="15.75" hidden="1" customHeight="1">
      <c r="D464" s="19"/>
      <c r="F464" s="11" t="s">
        <v>1435</v>
      </c>
    </row>
    <row r="465" ht="15.75" hidden="1" customHeight="1">
      <c r="D465" s="19"/>
      <c r="F465" s="11" t="s">
        <v>1435</v>
      </c>
    </row>
    <row r="466" ht="15.75" hidden="1" customHeight="1">
      <c r="D466" s="19"/>
      <c r="F466" s="11" t="s">
        <v>1435</v>
      </c>
    </row>
    <row r="467" ht="15.75" hidden="1" customHeight="1">
      <c r="D467" s="19"/>
      <c r="F467" s="11" t="s">
        <v>1435</v>
      </c>
    </row>
    <row r="468" ht="15.75" hidden="1" customHeight="1">
      <c r="D468" s="19"/>
      <c r="F468" s="11" t="s">
        <v>1435</v>
      </c>
    </row>
    <row r="469" ht="15.75" hidden="1" customHeight="1">
      <c r="D469" s="19"/>
      <c r="F469" s="11" t="s">
        <v>1435</v>
      </c>
    </row>
    <row r="470" ht="15.75" hidden="1" customHeight="1">
      <c r="D470" s="19"/>
      <c r="F470" s="11" t="s">
        <v>1435</v>
      </c>
    </row>
    <row r="471" ht="15.75" hidden="1" customHeight="1">
      <c r="D471" s="19"/>
      <c r="F471" s="11" t="s">
        <v>1435</v>
      </c>
    </row>
    <row r="472" ht="15.75" hidden="1" customHeight="1">
      <c r="D472" s="19"/>
      <c r="F472" s="11" t="s">
        <v>1435</v>
      </c>
    </row>
    <row r="473" ht="15.75" hidden="1" customHeight="1">
      <c r="D473" s="19"/>
      <c r="F473" s="11" t="s">
        <v>1435</v>
      </c>
    </row>
    <row r="474" ht="15.75" hidden="1" customHeight="1">
      <c r="D474" s="19"/>
      <c r="F474" s="11" t="s">
        <v>1435</v>
      </c>
    </row>
    <row r="475" ht="15.75" hidden="1" customHeight="1">
      <c r="D475" s="19"/>
      <c r="F475" s="11" t="s">
        <v>1435</v>
      </c>
    </row>
    <row r="476" ht="15.75" hidden="1" customHeight="1">
      <c r="D476" s="19"/>
      <c r="F476" s="11" t="s">
        <v>1435</v>
      </c>
    </row>
    <row r="477" ht="15.75" hidden="1" customHeight="1">
      <c r="D477" s="19"/>
      <c r="F477" s="11" t="s">
        <v>1435</v>
      </c>
    </row>
    <row r="478" ht="15.75" hidden="1" customHeight="1">
      <c r="D478" s="19"/>
      <c r="F478" s="11" t="s">
        <v>1435</v>
      </c>
    </row>
    <row r="479" ht="15.75" hidden="1" customHeight="1">
      <c r="D479" s="19"/>
      <c r="F479" s="11" t="s">
        <v>1435</v>
      </c>
    </row>
    <row r="480" ht="15.75" hidden="1" customHeight="1">
      <c r="D480" s="19"/>
      <c r="F480" s="11" t="s">
        <v>1435</v>
      </c>
    </row>
    <row r="481" ht="15.75" hidden="1" customHeight="1">
      <c r="D481" s="19"/>
      <c r="F481" s="11" t="s">
        <v>1435</v>
      </c>
    </row>
    <row r="482" ht="15.75" hidden="1" customHeight="1">
      <c r="D482" s="19"/>
      <c r="F482" s="11" t="s">
        <v>1435</v>
      </c>
    </row>
    <row r="483" ht="15.75" hidden="1" customHeight="1">
      <c r="D483" s="19"/>
      <c r="F483" s="11" t="s">
        <v>1435</v>
      </c>
    </row>
    <row r="484" ht="15.75" hidden="1" customHeight="1">
      <c r="D484" s="19"/>
      <c r="F484" s="11" t="s">
        <v>1435</v>
      </c>
    </row>
    <row r="485" ht="15.75" hidden="1" customHeight="1">
      <c r="D485" s="19"/>
      <c r="F485" s="11" t="s">
        <v>1435</v>
      </c>
    </row>
    <row r="486" ht="15.75" hidden="1" customHeight="1">
      <c r="D486" s="19"/>
      <c r="F486" s="11" t="s">
        <v>1435</v>
      </c>
    </row>
    <row r="487" ht="15.75" hidden="1" customHeight="1">
      <c r="D487" s="19"/>
      <c r="F487" s="11" t="s">
        <v>1435</v>
      </c>
    </row>
    <row r="488" ht="15.75" hidden="1" customHeight="1">
      <c r="D488" s="19"/>
      <c r="F488" s="11" t="s">
        <v>1435</v>
      </c>
    </row>
    <row r="489" ht="15.75" hidden="1" customHeight="1">
      <c r="D489" s="19"/>
      <c r="F489" s="11" t="s">
        <v>1435</v>
      </c>
    </row>
    <row r="490" ht="15.75" hidden="1" customHeight="1">
      <c r="D490" s="19"/>
      <c r="F490" s="11" t="s">
        <v>1435</v>
      </c>
    </row>
    <row r="491" ht="15.75" hidden="1" customHeight="1">
      <c r="D491" s="19"/>
      <c r="F491" s="11" t="s">
        <v>1435</v>
      </c>
    </row>
    <row r="492" ht="15.75" hidden="1" customHeight="1">
      <c r="D492" s="19"/>
      <c r="F492" s="11" t="s">
        <v>1435</v>
      </c>
    </row>
    <row r="493" ht="15.75" hidden="1" customHeight="1">
      <c r="D493" s="19"/>
      <c r="F493" s="11" t="s">
        <v>1435</v>
      </c>
    </row>
    <row r="494" ht="15.75" hidden="1" customHeight="1">
      <c r="D494" s="19"/>
      <c r="F494" s="11" t="s">
        <v>1435</v>
      </c>
    </row>
    <row r="495" ht="15.75" hidden="1" customHeight="1">
      <c r="D495" s="19"/>
      <c r="F495" s="11" t="s">
        <v>1435</v>
      </c>
    </row>
    <row r="496" ht="15.75" hidden="1" customHeight="1">
      <c r="D496" s="19"/>
      <c r="F496" s="11" t="s">
        <v>1435</v>
      </c>
    </row>
    <row r="497" ht="15.75" hidden="1" customHeight="1">
      <c r="D497" s="19"/>
      <c r="F497" s="11" t="s">
        <v>1435</v>
      </c>
    </row>
    <row r="498" ht="15.75" hidden="1" customHeight="1">
      <c r="D498" s="19"/>
      <c r="F498" s="11" t="s">
        <v>1435</v>
      </c>
    </row>
    <row r="499" ht="15.75" hidden="1" customHeight="1">
      <c r="D499" s="19"/>
      <c r="F499" s="11" t="s">
        <v>1435</v>
      </c>
    </row>
    <row r="500" ht="15.75" hidden="1" customHeight="1">
      <c r="D500" s="19"/>
      <c r="F500" s="11" t="s">
        <v>1435</v>
      </c>
    </row>
    <row r="501" ht="15.75" hidden="1" customHeight="1">
      <c r="D501" s="19"/>
      <c r="F501" s="11" t="s">
        <v>1435</v>
      </c>
    </row>
    <row r="502" ht="15.75" hidden="1" customHeight="1">
      <c r="D502" s="19"/>
      <c r="F502" s="11" t="s">
        <v>1435</v>
      </c>
    </row>
    <row r="503" ht="15.75" hidden="1" customHeight="1">
      <c r="D503" s="19"/>
      <c r="F503" s="11" t="s">
        <v>1435</v>
      </c>
    </row>
    <row r="504" ht="15.75" hidden="1" customHeight="1">
      <c r="D504" s="19"/>
      <c r="F504" s="11" t="s">
        <v>1435</v>
      </c>
    </row>
    <row r="505" ht="15.75" hidden="1" customHeight="1">
      <c r="D505" s="19"/>
      <c r="F505" s="11" t="s">
        <v>1435</v>
      </c>
    </row>
    <row r="506" ht="15.75" hidden="1" customHeight="1">
      <c r="D506" s="19"/>
      <c r="F506" s="11" t="s">
        <v>1435</v>
      </c>
    </row>
    <row r="507" ht="15.75" hidden="1" customHeight="1">
      <c r="D507" s="19"/>
      <c r="F507" s="11" t="s">
        <v>1435</v>
      </c>
    </row>
    <row r="508" ht="15.75" hidden="1" customHeight="1">
      <c r="D508" s="19"/>
      <c r="F508" s="11" t="s">
        <v>1435</v>
      </c>
    </row>
    <row r="509" ht="15.75" hidden="1" customHeight="1">
      <c r="D509" s="19"/>
      <c r="F509" s="11" t="s">
        <v>1435</v>
      </c>
    </row>
    <row r="510" ht="15.75" hidden="1" customHeight="1">
      <c r="D510" s="19"/>
      <c r="F510" s="11" t="s">
        <v>1435</v>
      </c>
    </row>
    <row r="511" ht="15.75" hidden="1" customHeight="1">
      <c r="D511" s="19"/>
      <c r="F511" s="11" t="s">
        <v>1435</v>
      </c>
    </row>
    <row r="512" ht="15.75" hidden="1" customHeight="1">
      <c r="D512" s="19"/>
      <c r="F512" s="11" t="s">
        <v>1435</v>
      </c>
    </row>
    <row r="513" ht="15.75" hidden="1" customHeight="1">
      <c r="D513" s="19"/>
      <c r="F513" s="11" t="s">
        <v>1435</v>
      </c>
    </row>
    <row r="514" ht="15.75" hidden="1" customHeight="1">
      <c r="D514" s="19"/>
      <c r="F514" s="11" t="s">
        <v>1435</v>
      </c>
    </row>
    <row r="515" ht="15.75" hidden="1" customHeight="1">
      <c r="D515" s="19"/>
      <c r="F515" s="11" t="s">
        <v>1435</v>
      </c>
    </row>
    <row r="516" ht="15.75" hidden="1" customHeight="1">
      <c r="D516" s="19"/>
      <c r="F516" s="11" t="s">
        <v>1435</v>
      </c>
    </row>
    <row r="517" ht="15.75" hidden="1" customHeight="1">
      <c r="D517" s="19"/>
      <c r="F517" s="11" t="s">
        <v>1435</v>
      </c>
    </row>
    <row r="518" ht="15.75" hidden="1" customHeight="1">
      <c r="D518" s="19"/>
      <c r="F518" s="11" t="s">
        <v>1435</v>
      </c>
    </row>
    <row r="519" ht="15.75" hidden="1" customHeight="1">
      <c r="D519" s="19"/>
      <c r="F519" s="11" t="s">
        <v>1435</v>
      </c>
    </row>
    <row r="520" ht="15.75" hidden="1" customHeight="1">
      <c r="D520" s="19"/>
      <c r="F520" s="11" t="s">
        <v>1435</v>
      </c>
    </row>
    <row r="521" ht="15.75" hidden="1" customHeight="1">
      <c r="D521" s="19"/>
      <c r="F521" s="11" t="s">
        <v>1435</v>
      </c>
    </row>
    <row r="522" ht="15.75" hidden="1" customHeight="1">
      <c r="D522" s="19"/>
      <c r="F522" s="11" t="s">
        <v>1435</v>
      </c>
    </row>
    <row r="523" ht="15.75" hidden="1" customHeight="1">
      <c r="D523" s="19"/>
      <c r="F523" s="11" t="s">
        <v>1435</v>
      </c>
    </row>
    <row r="524" ht="15.75" hidden="1" customHeight="1">
      <c r="D524" s="19"/>
      <c r="F524" s="11" t="s">
        <v>1435</v>
      </c>
    </row>
    <row r="525" ht="15.75" hidden="1" customHeight="1">
      <c r="D525" s="19"/>
      <c r="F525" s="11" t="s">
        <v>1435</v>
      </c>
    </row>
    <row r="526" ht="15.75" hidden="1" customHeight="1">
      <c r="D526" s="19"/>
      <c r="F526" s="11" t="s">
        <v>1435</v>
      </c>
    </row>
    <row r="527" ht="15.75" hidden="1" customHeight="1">
      <c r="D527" s="19"/>
      <c r="F527" s="11" t="s">
        <v>1435</v>
      </c>
    </row>
    <row r="528" ht="15.75" hidden="1" customHeight="1">
      <c r="D528" s="19"/>
      <c r="F528" s="11" t="s">
        <v>1435</v>
      </c>
    </row>
    <row r="529" ht="15.75" hidden="1" customHeight="1">
      <c r="D529" s="19"/>
      <c r="F529" s="11" t="s">
        <v>1435</v>
      </c>
    </row>
    <row r="530" ht="15.75" hidden="1" customHeight="1">
      <c r="D530" s="19"/>
      <c r="F530" s="11" t="s">
        <v>1435</v>
      </c>
    </row>
    <row r="531" ht="15.75" hidden="1" customHeight="1">
      <c r="D531" s="19"/>
      <c r="F531" s="11" t="s">
        <v>1435</v>
      </c>
    </row>
    <row r="532" ht="15.75" hidden="1" customHeight="1">
      <c r="D532" s="19"/>
      <c r="F532" s="11" t="s">
        <v>1435</v>
      </c>
    </row>
    <row r="533" ht="15.75" hidden="1" customHeight="1">
      <c r="D533" s="19"/>
      <c r="F533" s="11" t="s">
        <v>1435</v>
      </c>
    </row>
    <row r="534" ht="15.75" hidden="1" customHeight="1">
      <c r="D534" s="19"/>
      <c r="F534" s="11" t="s">
        <v>1435</v>
      </c>
    </row>
    <row r="535" ht="15.75" hidden="1" customHeight="1">
      <c r="D535" s="19"/>
      <c r="F535" s="11" t="s">
        <v>1435</v>
      </c>
    </row>
    <row r="536" ht="15.75" hidden="1" customHeight="1">
      <c r="D536" s="19"/>
      <c r="F536" s="11" t="s">
        <v>1435</v>
      </c>
    </row>
    <row r="537" ht="15.75" hidden="1" customHeight="1">
      <c r="D537" s="19"/>
      <c r="F537" s="11" t="s">
        <v>1435</v>
      </c>
    </row>
    <row r="538" ht="15.75" hidden="1" customHeight="1">
      <c r="D538" s="19"/>
      <c r="F538" s="11" t="s">
        <v>1435</v>
      </c>
    </row>
    <row r="539" ht="15.75" hidden="1" customHeight="1">
      <c r="D539" s="19"/>
      <c r="F539" s="11" t="s">
        <v>1435</v>
      </c>
    </row>
    <row r="540" ht="15.75" hidden="1" customHeight="1">
      <c r="D540" s="19"/>
      <c r="F540" s="11" t="s">
        <v>1435</v>
      </c>
    </row>
    <row r="541" ht="15.75" hidden="1" customHeight="1">
      <c r="D541" s="19"/>
      <c r="F541" s="11" t="s">
        <v>1435</v>
      </c>
    </row>
    <row r="542" ht="15.75" hidden="1" customHeight="1">
      <c r="D542" s="19"/>
      <c r="F542" s="11" t="s">
        <v>1435</v>
      </c>
    </row>
    <row r="543" ht="15.75" hidden="1" customHeight="1">
      <c r="D543" s="19"/>
      <c r="F543" s="11" t="s">
        <v>1435</v>
      </c>
    </row>
    <row r="544" ht="15.75" hidden="1" customHeight="1">
      <c r="D544" s="19"/>
      <c r="F544" s="11" t="s">
        <v>1435</v>
      </c>
    </row>
    <row r="545" ht="15.75" hidden="1" customHeight="1">
      <c r="D545" s="19"/>
      <c r="F545" s="11" t="s">
        <v>1435</v>
      </c>
    </row>
    <row r="546" ht="15.75" hidden="1" customHeight="1">
      <c r="D546" s="19"/>
      <c r="F546" s="11" t="s">
        <v>1435</v>
      </c>
    </row>
    <row r="547" ht="15.75" hidden="1" customHeight="1">
      <c r="D547" s="19"/>
      <c r="F547" s="11" t="s">
        <v>1435</v>
      </c>
    </row>
    <row r="548" ht="15.75" hidden="1" customHeight="1">
      <c r="D548" s="19"/>
      <c r="F548" s="11" t="s">
        <v>1435</v>
      </c>
    </row>
    <row r="549" ht="15.75" hidden="1" customHeight="1">
      <c r="D549" s="19"/>
      <c r="F549" s="11" t="s">
        <v>1435</v>
      </c>
    </row>
    <row r="550" ht="15.75" hidden="1" customHeight="1">
      <c r="D550" s="19"/>
      <c r="F550" s="11" t="s">
        <v>1435</v>
      </c>
    </row>
    <row r="551" ht="15.75" hidden="1" customHeight="1">
      <c r="D551" s="19"/>
      <c r="F551" s="11" t="s">
        <v>1435</v>
      </c>
    </row>
    <row r="552" ht="15.75" hidden="1" customHeight="1">
      <c r="D552" s="19"/>
      <c r="F552" s="11" t="s">
        <v>1435</v>
      </c>
    </row>
    <row r="553" ht="15.75" hidden="1" customHeight="1">
      <c r="D553" s="19"/>
      <c r="F553" s="11" t="s">
        <v>1435</v>
      </c>
    </row>
    <row r="554" ht="15.75" hidden="1" customHeight="1">
      <c r="D554" s="19"/>
      <c r="F554" s="11" t="s">
        <v>1435</v>
      </c>
    </row>
    <row r="555" ht="15.75" hidden="1" customHeight="1">
      <c r="D555" s="19"/>
      <c r="F555" s="11" t="s">
        <v>1435</v>
      </c>
    </row>
    <row r="556" ht="15.75" hidden="1" customHeight="1">
      <c r="D556" s="19"/>
      <c r="F556" s="11" t="s">
        <v>1435</v>
      </c>
    </row>
    <row r="557" ht="15.75" hidden="1" customHeight="1">
      <c r="D557" s="19"/>
      <c r="F557" s="11" t="s">
        <v>1435</v>
      </c>
    </row>
    <row r="558" ht="15.75" hidden="1" customHeight="1">
      <c r="D558" s="19"/>
      <c r="F558" s="11" t="s">
        <v>1435</v>
      </c>
    </row>
    <row r="559" ht="15.75" hidden="1" customHeight="1">
      <c r="D559" s="19"/>
      <c r="F559" s="11" t="s">
        <v>1435</v>
      </c>
    </row>
    <row r="560" ht="15.75" hidden="1" customHeight="1">
      <c r="D560" s="19"/>
      <c r="F560" s="11" t="s">
        <v>1435</v>
      </c>
    </row>
    <row r="561" ht="15.75" hidden="1" customHeight="1">
      <c r="D561" s="19"/>
      <c r="F561" s="11" t="s">
        <v>1435</v>
      </c>
    </row>
    <row r="562" ht="15.75" hidden="1" customHeight="1">
      <c r="D562" s="19"/>
      <c r="F562" s="11" t="s">
        <v>1435</v>
      </c>
    </row>
    <row r="563" ht="15.75" hidden="1" customHeight="1">
      <c r="D563" s="19"/>
      <c r="F563" s="11" t="s">
        <v>1435</v>
      </c>
    </row>
    <row r="564" ht="15.75" hidden="1" customHeight="1">
      <c r="D564" s="19"/>
      <c r="F564" s="11" t="s">
        <v>1435</v>
      </c>
    </row>
    <row r="565" ht="15.75" hidden="1" customHeight="1">
      <c r="D565" s="19"/>
      <c r="F565" s="11" t="s">
        <v>1435</v>
      </c>
    </row>
    <row r="566" ht="15.75" hidden="1" customHeight="1">
      <c r="D566" s="19"/>
      <c r="F566" s="11" t="s">
        <v>1435</v>
      </c>
    </row>
    <row r="567" ht="15.75" hidden="1" customHeight="1">
      <c r="D567" s="19"/>
      <c r="F567" s="11" t="s">
        <v>1435</v>
      </c>
    </row>
    <row r="568" ht="15.75" hidden="1" customHeight="1">
      <c r="D568" s="19"/>
      <c r="F568" s="11" t="s">
        <v>1435</v>
      </c>
    </row>
    <row r="569" ht="15.75" hidden="1" customHeight="1">
      <c r="D569" s="19"/>
      <c r="F569" s="11" t="s">
        <v>1435</v>
      </c>
    </row>
    <row r="570" ht="15.75" hidden="1" customHeight="1">
      <c r="D570" s="19"/>
      <c r="F570" s="11" t="s">
        <v>1435</v>
      </c>
    </row>
    <row r="571" ht="15.75" hidden="1" customHeight="1">
      <c r="D571" s="19"/>
      <c r="F571" s="11" t="s">
        <v>1435</v>
      </c>
    </row>
    <row r="572" ht="15.75" hidden="1" customHeight="1">
      <c r="D572" s="19"/>
      <c r="F572" s="11" t="s">
        <v>1435</v>
      </c>
    </row>
    <row r="573" ht="15.75" hidden="1" customHeight="1">
      <c r="D573" s="19"/>
      <c r="F573" s="11" t="s">
        <v>1435</v>
      </c>
    </row>
    <row r="574" ht="15.75" hidden="1" customHeight="1">
      <c r="D574" s="19"/>
      <c r="F574" s="11" t="s">
        <v>1435</v>
      </c>
    </row>
    <row r="575" ht="15.75" hidden="1" customHeight="1">
      <c r="D575" s="19"/>
      <c r="F575" s="11" t="s">
        <v>1435</v>
      </c>
    </row>
    <row r="576" ht="15.75" hidden="1" customHeight="1">
      <c r="D576" s="19"/>
      <c r="F576" s="11" t="s">
        <v>1435</v>
      </c>
    </row>
    <row r="577" ht="15.75" hidden="1" customHeight="1">
      <c r="D577" s="19"/>
      <c r="F577" s="11" t="s">
        <v>1435</v>
      </c>
    </row>
    <row r="578" ht="15.75" hidden="1" customHeight="1">
      <c r="D578" s="19"/>
      <c r="F578" s="11" t="s">
        <v>1435</v>
      </c>
    </row>
    <row r="579" ht="15.75" hidden="1" customHeight="1">
      <c r="D579" s="19"/>
      <c r="F579" s="11" t="s">
        <v>1435</v>
      </c>
    </row>
    <row r="580" ht="15.75" hidden="1" customHeight="1">
      <c r="D580" s="19"/>
      <c r="F580" s="11" t="s">
        <v>1435</v>
      </c>
    </row>
    <row r="581" ht="15.75" hidden="1" customHeight="1">
      <c r="D581" s="19"/>
      <c r="F581" s="11" t="s">
        <v>1435</v>
      </c>
    </row>
    <row r="582" ht="15.75" hidden="1" customHeight="1">
      <c r="D582" s="19"/>
      <c r="F582" s="11" t="s">
        <v>1435</v>
      </c>
    </row>
    <row r="583" ht="15.75" hidden="1" customHeight="1">
      <c r="D583" s="19"/>
      <c r="F583" s="11" t="s">
        <v>1435</v>
      </c>
    </row>
    <row r="584" ht="15.75" hidden="1" customHeight="1">
      <c r="D584" s="19"/>
      <c r="F584" s="11" t="s">
        <v>1435</v>
      </c>
    </row>
    <row r="585" ht="15.75" hidden="1" customHeight="1">
      <c r="D585" s="19"/>
      <c r="F585" s="11" t="s">
        <v>1435</v>
      </c>
    </row>
    <row r="586" ht="15.75" hidden="1" customHeight="1">
      <c r="D586" s="19"/>
      <c r="F586" s="11" t="s">
        <v>1435</v>
      </c>
    </row>
    <row r="587" ht="15.75" hidden="1" customHeight="1">
      <c r="D587" s="19"/>
      <c r="F587" s="11" t="s">
        <v>1435</v>
      </c>
    </row>
    <row r="588" ht="15.75" hidden="1" customHeight="1">
      <c r="D588" s="19"/>
      <c r="F588" s="11" t="s">
        <v>1435</v>
      </c>
    </row>
    <row r="589" ht="15.75" hidden="1" customHeight="1">
      <c r="D589" s="19"/>
      <c r="F589" s="11" t="s">
        <v>1435</v>
      </c>
    </row>
    <row r="590" ht="15.75" hidden="1" customHeight="1">
      <c r="D590" s="19"/>
      <c r="F590" s="11" t="s">
        <v>1435</v>
      </c>
    </row>
    <row r="591" ht="15.75" hidden="1" customHeight="1">
      <c r="D591" s="19"/>
      <c r="F591" s="11" t="s">
        <v>1435</v>
      </c>
    </row>
    <row r="592" ht="15.75" hidden="1" customHeight="1">
      <c r="D592" s="19"/>
      <c r="F592" s="11" t="s">
        <v>1435</v>
      </c>
    </row>
    <row r="593" ht="15.75" hidden="1" customHeight="1">
      <c r="D593" s="19"/>
      <c r="F593" s="11" t="s">
        <v>1435</v>
      </c>
    </row>
    <row r="594" ht="15.75" hidden="1" customHeight="1">
      <c r="D594" s="19"/>
      <c r="F594" s="11" t="s">
        <v>1435</v>
      </c>
    </row>
    <row r="595" ht="15.75" hidden="1" customHeight="1">
      <c r="D595" s="19"/>
      <c r="F595" s="11" t="s">
        <v>1435</v>
      </c>
    </row>
    <row r="596" ht="15.75" hidden="1" customHeight="1">
      <c r="D596" s="19"/>
      <c r="F596" s="11" t="s">
        <v>1435</v>
      </c>
    </row>
    <row r="597" ht="15.75" hidden="1" customHeight="1">
      <c r="D597" s="19"/>
      <c r="F597" s="11" t="s">
        <v>1435</v>
      </c>
    </row>
    <row r="598" ht="15.75" hidden="1" customHeight="1">
      <c r="D598" s="19"/>
      <c r="F598" s="11" t="s">
        <v>1435</v>
      </c>
    </row>
    <row r="599" ht="15.75" hidden="1" customHeight="1">
      <c r="D599" s="19"/>
      <c r="F599" s="11" t="s">
        <v>1435</v>
      </c>
    </row>
    <row r="600" ht="15.75" hidden="1" customHeight="1">
      <c r="D600" s="19"/>
      <c r="F600" s="11" t="s">
        <v>1435</v>
      </c>
    </row>
    <row r="601" ht="15.75" hidden="1" customHeight="1">
      <c r="D601" s="19"/>
      <c r="F601" s="11" t="s">
        <v>1435</v>
      </c>
    </row>
    <row r="602" ht="15.75" hidden="1" customHeight="1">
      <c r="D602" s="19"/>
      <c r="F602" s="11" t="s">
        <v>1435</v>
      </c>
    </row>
    <row r="603" ht="15.75" hidden="1" customHeight="1">
      <c r="D603" s="19"/>
      <c r="F603" s="11" t="s">
        <v>1435</v>
      </c>
    </row>
    <row r="604" ht="15.75" hidden="1" customHeight="1">
      <c r="D604" s="19"/>
      <c r="F604" s="11" t="s">
        <v>1435</v>
      </c>
    </row>
    <row r="605" ht="15.75" hidden="1" customHeight="1">
      <c r="D605" s="19"/>
      <c r="F605" s="11" t="s">
        <v>1435</v>
      </c>
    </row>
    <row r="606" ht="15.75" hidden="1" customHeight="1">
      <c r="D606" s="19"/>
      <c r="F606" s="11" t="s">
        <v>1435</v>
      </c>
    </row>
    <row r="607" ht="15.75" hidden="1" customHeight="1">
      <c r="D607" s="19"/>
      <c r="F607" s="11" t="s">
        <v>1435</v>
      </c>
    </row>
    <row r="608" ht="15.75" hidden="1" customHeight="1">
      <c r="D608" s="19"/>
      <c r="F608" s="11" t="s">
        <v>1435</v>
      </c>
    </row>
    <row r="609" ht="15.75" hidden="1" customHeight="1">
      <c r="D609" s="19"/>
      <c r="F609" s="11" t="s">
        <v>1435</v>
      </c>
    </row>
    <row r="610" ht="15.75" hidden="1" customHeight="1">
      <c r="D610" s="19"/>
      <c r="F610" s="11" t="s">
        <v>1435</v>
      </c>
    </row>
    <row r="611" ht="15.75" hidden="1" customHeight="1">
      <c r="D611" s="19"/>
      <c r="F611" s="11" t="s">
        <v>1435</v>
      </c>
    </row>
    <row r="612" ht="15.75" hidden="1" customHeight="1">
      <c r="D612" s="19"/>
      <c r="F612" s="11" t="s">
        <v>1435</v>
      </c>
    </row>
    <row r="613" ht="15.75" hidden="1" customHeight="1">
      <c r="D613" s="19"/>
      <c r="F613" s="11" t="s">
        <v>1435</v>
      </c>
    </row>
    <row r="614" ht="15.75" hidden="1" customHeight="1">
      <c r="D614" s="19"/>
      <c r="F614" s="11" t="s">
        <v>1435</v>
      </c>
    </row>
    <row r="615" ht="15.75" hidden="1" customHeight="1">
      <c r="D615" s="19"/>
      <c r="F615" s="11" t="s">
        <v>1435</v>
      </c>
    </row>
    <row r="616" ht="15.75" hidden="1" customHeight="1">
      <c r="D616" s="19"/>
      <c r="F616" s="11" t="s">
        <v>1435</v>
      </c>
    </row>
    <row r="617" ht="15.75" hidden="1" customHeight="1">
      <c r="D617" s="19"/>
      <c r="F617" s="11" t="s">
        <v>1435</v>
      </c>
    </row>
    <row r="618" ht="15.75" hidden="1" customHeight="1">
      <c r="D618" s="19"/>
      <c r="F618" s="11" t="s">
        <v>1435</v>
      </c>
    </row>
    <row r="619" ht="15.75" hidden="1" customHeight="1">
      <c r="D619" s="19"/>
      <c r="F619" s="11" t="s">
        <v>1435</v>
      </c>
    </row>
    <row r="620" ht="15.75" hidden="1" customHeight="1">
      <c r="D620" s="19"/>
      <c r="F620" s="11" t="s">
        <v>1435</v>
      </c>
    </row>
    <row r="621" ht="15.75" hidden="1" customHeight="1">
      <c r="D621" s="19"/>
      <c r="F621" s="11" t="s">
        <v>1435</v>
      </c>
    </row>
    <row r="622" ht="15.75" hidden="1" customHeight="1">
      <c r="D622" s="19"/>
      <c r="F622" s="11" t="s">
        <v>1435</v>
      </c>
    </row>
    <row r="623" ht="15.75" hidden="1" customHeight="1">
      <c r="D623" s="19"/>
      <c r="F623" s="11" t="s">
        <v>1435</v>
      </c>
    </row>
    <row r="624" ht="15.75" hidden="1" customHeight="1">
      <c r="D624" s="19"/>
      <c r="F624" s="11" t="s">
        <v>1435</v>
      </c>
    </row>
    <row r="625" ht="15.75" hidden="1" customHeight="1">
      <c r="D625" s="19"/>
      <c r="F625" s="11" t="s">
        <v>1435</v>
      </c>
    </row>
    <row r="626" ht="15.75" hidden="1" customHeight="1">
      <c r="D626" s="19"/>
      <c r="F626" s="11" t="s">
        <v>1435</v>
      </c>
    </row>
    <row r="627" ht="15.75" hidden="1" customHeight="1">
      <c r="D627" s="19"/>
      <c r="F627" s="11" t="s">
        <v>1435</v>
      </c>
    </row>
    <row r="628" ht="15.75" hidden="1" customHeight="1">
      <c r="D628" s="19"/>
      <c r="F628" s="11" t="s">
        <v>1435</v>
      </c>
    </row>
    <row r="629" ht="15.75" hidden="1" customHeight="1">
      <c r="D629" s="19"/>
      <c r="F629" s="11" t="s">
        <v>1435</v>
      </c>
    </row>
    <row r="630" ht="15.75" hidden="1" customHeight="1">
      <c r="D630" s="19"/>
      <c r="F630" s="11" t="s">
        <v>1435</v>
      </c>
    </row>
    <row r="631" ht="15.75" hidden="1" customHeight="1">
      <c r="D631" s="19"/>
      <c r="F631" s="11" t="s">
        <v>1435</v>
      </c>
    </row>
    <row r="632" ht="15.75" hidden="1" customHeight="1">
      <c r="D632" s="19"/>
      <c r="F632" s="11" t="s">
        <v>1435</v>
      </c>
    </row>
    <row r="633" ht="15.75" hidden="1" customHeight="1">
      <c r="D633" s="19"/>
      <c r="F633" s="11" t="s">
        <v>1435</v>
      </c>
    </row>
    <row r="634" ht="15.75" hidden="1" customHeight="1">
      <c r="D634" s="19"/>
      <c r="F634" s="11" t="s">
        <v>1435</v>
      </c>
    </row>
    <row r="635" ht="15.75" hidden="1" customHeight="1">
      <c r="D635" s="19"/>
      <c r="F635" s="11" t="s">
        <v>1435</v>
      </c>
    </row>
    <row r="636" ht="15.75" hidden="1" customHeight="1">
      <c r="D636" s="19"/>
      <c r="F636" s="11" t="s">
        <v>1435</v>
      </c>
    </row>
    <row r="637" ht="15.75" hidden="1" customHeight="1">
      <c r="D637" s="19"/>
      <c r="F637" s="11" t="s">
        <v>1435</v>
      </c>
    </row>
    <row r="638" ht="15.75" hidden="1" customHeight="1">
      <c r="D638" s="19"/>
      <c r="F638" s="11" t="s">
        <v>1435</v>
      </c>
    </row>
    <row r="639" ht="15.75" hidden="1" customHeight="1">
      <c r="D639" s="19"/>
      <c r="F639" s="11" t="s">
        <v>1435</v>
      </c>
    </row>
    <row r="640" ht="15.75" hidden="1" customHeight="1">
      <c r="D640" s="19"/>
      <c r="F640" s="11" t="s">
        <v>1435</v>
      </c>
    </row>
    <row r="641" ht="15.75" hidden="1" customHeight="1">
      <c r="D641" s="19"/>
      <c r="F641" s="11" t="s">
        <v>1435</v>
      </c>
    </row>
    <row r="642" ht="15.75" hidden="1" customHeight="1">
      <c r="D642" s="19"/>
      <c r="F642" s="11" t="s">
        <v>1435</v>
      </c>
    </row>
    <row r="643" ht="15.75" hidden="1" customHeight="1">
      <c r="D643" s="19"/>
      <c r="F643" s="11" t="s">
        <v>1435</v>
      </c>
    </row>
    <row r="644" ht="15.75" hidden="1" customHeight="1">
      <c r="D644" s="19"/>
      <c r="F644" s="11" t="s">
        <v>1435</v>
      </c>
    </row>
    <row r="645" ht="15.75" hidden="1" customHeight="1">
      <c r="D645" s="19"/>
      <c r="F645" s="11" t="s">
        <v>1435</v>
      </c>
    </row>
    <row r="646" ht="15.75" hidden="1" customHeight="1">
      <c r="D646" s="19"/>
      <c r="F646" s="11" t="s">
        <v>1435</v>
      </c>
    </row>
    <row r="647" ht="15.75" hidden="1" customHeight="1">
      <c r="D647" s="19"/>
      <c r="F647" s="11" t="s">
        <v>1435</v>
      </c>
    </row>
    <row r="648" ht="15.75" hidden="1" customHeight="1">
      <c r="D648" s="19"/>
      <c r="F648" s="11" t="s">
        <v>1435</v>
      </c>
    </row>
    <row r="649" ht="15.75" hidden="1" customHeight="1">
      <c r="D649" s="19"/>
      <c r="F649" s="11" t="s">
        <v>1435</v>
      </c>
    </row>
    <row r="650" ht="15.75" hidden="1" customHeight="1">
      <c r="D650" s="19"/>
      <c r="F650" s="11" t="s">
        <v>1435</v>
      </c>
    </row>
    <row r="651" ht="15.75" hidden="1" customHeight="1">
      <c r="D651" s="19"/>
      <c r="F651" s="11" t="s">
        <v>1435</v>
      </c>
    </row>
    <row r="652" ht="15.75" hidden="1" customHeight="1">
      <c r="D652" s="19"/>
      <c r="F652" s="11" t="s">
        <v>1435</v>
      </c>
    </row>
    <row r="653" ht="15.75" hidden="1" customHeight="1">
      <c r="D653" s="19"/>
      <c r="F653" s="11" t="s">
        <v>1435</v>
      </c>
    </row>
    <row r="654" ht="15.75" hidden="1" customHeight="1">
      <c r="D654" s="19"/>
      <c r="F654" s="11" t="s">
        <v>1435</v>
      </c>
    </row>
    <row r="655" ht="15.75" hidden="1" customHeight="1">
      <c r="D655" s="19"/>
      <c r="F655" s="11" t="s">
        <v>1435</v>
      </c>
    </row>
    <row r="656" ht="15.75" hidden="1" customHeight="1">
      <c r="D656" s="19"/>
      <c r="F656" s="11" t="s">
        <v>1435</v>
      </c>
    </row>
    <row r="657" ht="15.75" hidden="1" customHeight="1">
      <c r="D657" s="19"/>
      <c r="F657" s="11" t="s">
        <v>1435</v>
      </c>
    </row>
    <row r="658" ht="15.75" hidden="1" customHeight="1">
      <c r="D658" s="19"/>
      <c r="F658" s="11" t="s">
        <v>1435</v>
      </c>
    </row>
    <row r="659" ht="15.75" hidden="1" customHeight="1">
      <c r="D659" s="19"/>
      <c r="F659" s="11" t="s">
        <v>1435</v>
      </c>
    </row>
    <row r="660" ht="15.75" hidden="1" customHeight="1">
      <c r="D660" s="19"/>
      <c r="F660" s="11" t="s">
        <v>1435</v>
      </c>
    </row>
    <row r="661" ht="15.75" hidden="1" customHeight="1">
      <c r="D661" s="19"/>
      <c r="F661" s="11" t="s">
        <v>1435</v>
      </c>
    </row>
    <row r="662" ht="15.75" hidden="1" customHeight="1">
      <c r="D662" s="19"/>
      <c r="F662" s="11" t="s">
        <v>1435</v>
      </c>
    </row>
    <row r="663" ht="15.75" hidden="1" customHeight="1">
      <c r="D663" s="19"/>
      <c r="F663" s="11" t="s">
        <v>1435</v>
      </c>
    </row>
    <row r="664" ht="15.75" hidden="1" customHeight="1">
      <c r="D664" s="19"/>
      <c r="F664" s="11" t="s">
        <v>1435</v>
      </c>
    </row>
    <row r="665" ht="15.75" hidden="1" customHeight="1">
      <c r="D665" s="19"/>
      <c r="F665" s="11" t="s">
        <v>1435</v>
      </c>
    </row>
    <row r="666" ht="15.75" hidden="1" customHeight="1">
      <c r="D666" s="19"/>
      <c r="F666" s="11" t="s">
        <v>1435</v>
      </c>
    </row>
    <row r="667" ht="15.75" hidden="1" customHeight="1">
      <c r="D667" s="19"/>
      <c r="F667" s="11" t="s">
        <v>1435</v>
      </c>
    </row>
    <row r="668" ht="15.75" hidden="1" customHeight="1">
      <c r="D668" s="19"/>
      <c r="F668" s="11" t="s">
        <v>1435</v>
      </c>
    </row>
    <row r="669" ht="15.75" hidden="1" customHeight="1">
      <c r="D669" s="19"/>
      <c r="F669" s="11" t="s">
        <v>1435</v>
      </c>
    </row>
    <row r="670" ht="15.75" hidden="1" customHeight="1">
      <c r="D670" s="19"/>
      <c r="F670" s="11" t="s">
        <v>1435</v>
      </c>
    </row>
    <row r="671" ht="15.75" hidden="1" customHeight="1">
      <c r="D671" s="19"/>
      <c r="F671" s="11" t="s">
        <v>1435</v>
      </c>
    </row>
    <row r="672" ht="15.75" hidden="1" customHeight="1">
      <c r="D672" s="19"/>
      <c r="F672" s="11" t="s">
        <v>1435</v>
      </c>
    </row>
    <row r="673" ht="15.75" hidden="1" customHeight="1">
      <c r="D673" s="19"/>
      <c r="F673" s="11" t="s">
        <v>1435</v>
      </c>
    </row>
    <row r="674" ht="15.75" hidden="1" customHeight="1">
      <c r="D674" s="19"/>
      <c r="F674" s="11" t="s">
        <v>1435</v>
      </c>
    </row>
    <row r="675" ht="15.75" hidden="1" customHeight="1">
      <c r="D675" s="19"/>
      <c r="F675" s="11" t="s">
        <v>1435</v>
      </c>
    </row>
    <row r="676" ht="15.75" hidden="1" customHeight="1">
      <c r="D676" s="19"/>
      <c r="F676" s="11" t="s">
        <v>1435</v>
      </c>
    </row>
    <row r="677" ht="15.75" hidden="1" customHeight="1">
      <c r="D677" s="19"/>
      <c r="F677" s="11" t="s">
        <v>1435</v>
      </c>
    </row>
    <row r="678" ht="15.75" hidden="1" customHeight="1">
      <c r="D678" s="19"/>
      <c r="F678" s="11" t="s">
        <v>1435</v>
      </c>
    </row>
    <row r="679" ht="15.75" hidden="1" customHeight="1">
      <c r="D679" s="19"/>
      <c r="F679" s="11" t="s">
        <v>1435</v>
      </c>
    </row>
    <row r="680" ht="15.75" hidden="1" customHeight="1">
      <c r="D680" s="19"/>
      <c r="F680" s="11" t="s">
        <v>1435</v>
      </c>
    </row>
    <row r="681" ht="15.75" hidden="1" customHeight="1">
      <c r="D681" s="19"/>
      <c r="F681" s="11" t="s">
        <v>1435</v>
      </c>
    </row>
    <row r="682" ht="15.75" hidden="1" customHeight="1">
      <c r="D682" s="19"/>
      <c r="F682" s="11" t="s">
        <v>1435</v>
      </c>
    </row>
    <row r="683" ht="15.75" hidden="1" customHeight="1">
      <c r="D683" s="19"/>
      <c r="F683" s="11" t="s">
        <v>1435</v>
      </c>
    </row>
    <row r="684" ht="15.75" hidden="1" customHeight="1">
      <c r="D684" s="19"/>
      <c r="F684" s="11" t="s">
        <v>1435</v>
      </c>
    </row>
    <row r="685" ht="15.75" hidden="1" customHeight="1">
      <c r="D685" s="19"/>
      <c r="F685" s="11" t="s">
        <v>1435</v>
      </c>
    </row>
    <row r="686" ht="15.75" hidden="1" customHeight="1">
      <c r="D686" s="19"/>
      <c r="F686" s="11" t="s">
        <v>1435</v>
      </c>
    </row>
    <row r="687" ht="15.75" hidden="1" customHeight="1">
      <c r="D687" s="19"/>
      <c r="F687" s="11" t="s">
        <v>1435</v>
      </c>
    </row>
    <row r="688" ht="15.75" hidden="1" customHeight="1">
      <c r="D688" s="19"/>
      <c r="F688" s="11" t="s">
        <v>1435</v>
      </c>
    </row>
    <row r="689" ht="15.75" hidden="1" customHeight="1">
      <c r="D689" s="19"/>
      <c r="F689" s="11" t="s">
        <v>1435</v>
      </c>
    </row>
    <row r="690" ht="15.75" hidden="1" customHeight="1">
      <c r="D690" s="19"/>
      <c r="F690" s="11" t="s">
        <v>1435</v>
      </c>
    </row>
    <row r="691" ht="15.75" hidden="1" customHeight="1">
      <c r="D691" s="19"/>
      <c r="F691" s="11" t="s">
        <v>1435</v>
      </c>
    </row>
    <row r="692" ht="15.75" hidden="1" customHeight="1">
      <c r="D692" s="19"/>
      <c r="F692" s="11" t="s">
        <v>1435</v>
      </c>
    </row>
    <row r="693" ht="15.75" hidden="1" customHeight="1">
      <c r="D693" s="19"/>
      <c r="F693" s="11" t="s">
        <v>1435</v>
      </c>
    </row>
    <row r="694" ht="15.75" hidden="1" customHeight="1">
      <c r="D694" s="19"/>
      <c r="F694" s="11" t="s">
        <v>1435</v>
      </c>
    </row>
    <row r="695" ht="15.75" hidden="1" customHeight="1">
      <c r="D695" s="19"/>
      <c r="F695" s="11" t="s">
        <v>1435</v>
      </c>
    </row>
    <row r="696" ht="15.75" hidden="1" customHeight="1">
      <c r="D696" s="19"/>
      <c r="F696" s="11" t="s">
        <v>1435</v>
      </c>
    </row>
    <row r="697" ht="15.75" hidden="1" customHeight="1">
      <c r="D697" s="19"/>
      <c r="F697" s="11" t="s">
        <v>1435</v>
      </c>
    </row>
    <row r="698" ht="15.75" hidden="1" customHeight="1">
      <c r="D698" s="19"/>
      <c r="F698" s="11" t="s">
        <v>1435</v>
      </c>
    </row>
    <row r="699" ht="15.75" hidden="1" customHeight="1">
      <c r="D699" s="19"/>
      <c r="F699" s="11" t="s">
        <v>1435</v>
      </c>
    </row>
    <row r="700" ht="15.75" hidden="1" customHeight="1">
      <c r="D700" s="19"/>
      <c r="F700" s="11" t="s">
        <v>1435</v>
      </c>
    </row>
    <row r="701" ht="15.75" hidden="1" customHeight="1">
      <c r="D701" s="19"/>
      <c r="F701" s="11" t="s">
        <v>1435</v>
      </c>
    </row>
    <row r="702" ht="15.75" hidden="1" customHeight="1">
      <c r="D702" s="19"/>
      <c r="F702" s="11" t="s">
        <v>1435</v>
      </c>
    </row>
    <row r="703" ht="15.75" hidden="1" customHeight="1">
      <c r="D703" s="19"/>
      <c r="F703" s="11" t="s">
        <v>1435</v>
      </c>
    </row>
    <row r="704" ht="15.75" hidden="1" customHeight="1">
      <c r="D704" s="19"/>
      <c r="F704" s="11" t="s">
        <v>1435</v>
      </c>
    </row>
    <row r="705" ht="15.75" hidden="1" customHeight="1">
      <c r="D705" s="19"/>
      <c r="F705" s="11" t="s">
        <v>1435</v>
      </c>
    </row>
    <row r="706" ht="15.75" hidden="1" customHeight="1">
      <c r="D706" s="19"/>
      <c r="F706" s="11" t="s">
        <v>1435</v>
      </c>
    </row>
    <row r="707" ht="15.75" hidden="1" customHeight="1">
      <c r="D707" s="19"/>
      <c r="F707" s="11" t="s">
        <v>1435</v>
      </c>
    </row>
    <row r="708" ht="15.75" hidden="1" customHeight="1">
      <c r="D708" s="19"/>
      <c r="F708" s="11" t="s">
        <v>1435</v>
      </c>
    </row>
    <row r="709" ht="15.75" hidden="1" customHeight="1">
      <c r="D709" s="19"/>
      <c r="F709" s="11" t="s">
        <v>1435</v>
      </c>
    </row>
    <row r="710" ht="15.75" hidden="1" customHeight="1">
      <c r="D710" s="19"/>
      <c r="F710" s="11" t="s">
        <v>1435</v>
      </c>
    </row>
    <row r="711" ht="15.75" hidden="1" customHeight="1">
      <c r="D711" s="19"/>
      <c r="F711" s="11" t="s">
        <v>1435</v>
      </c>
    </row>
    <row r="712" ht="15.75" hidden="1" customHeight="1">
      <c r="D712" s="19"/>
      <c r="F712" s="11" t="s">
        <v>1435</v>
      </c>
    </row>
    <row r="713" ht="15.75" hidden="1" customHeight="1">
      <c r="D713" s="19"/>
      <c r="F713" s="11" t="s">
        <v>1435</v>
      </c>
    </row>
    <row r="714" ht="15.75" hidden="1" customHeight="1">
      <c r="D714" s="19"/>
      <c r="F714" s="11" t="s">
        <v>1435</v>
      </c>
    </row>
    <row r="715" ht="15.75" hidden="1" customHeight="1">
      <c r="D715" s="19"/>
      <c r="F715" s="11" t="s">
        <v>1435</v>
      </c>
    </row>
    <row r="716" ht="15.75" hidden="1" customHeight="1">
      <c r="D716" s="19"/>
      <c r="F716" s="11" t="s">
        <v>1435</v>
      </c>
    </row>
    <row r="717" ht="15.75" hidden="1" customHeight="1">
      <c r="D717" s="19"/>
      <c r="F717" s="11" t="s">
        <v>1435</v>
      </c>
    </row>
    <row r="718" ht="15.75" hidden="1" customHeight="1">
      <c r="D718" s="19"/>
      <c r="F718" s="11" t="s">
        <v>1435</v>
      </c>
    </row>
    <row r="719" ht="15.75" hidden="1" customHeight="1">
      <c r="D719" s="19"/>
      <c r="F719" s="11" t="s">
        <v>1435</v>
      </c>
    </row>
    <row r="720" ht="15.75" hidden="1" customHeight="1">
      <c r="D720" s="19"/>
      <c r="F720" s="11" t="s">
        <v>1435</v>
      </c>
    </row>
    <row r="721" ht="15.75" hidden="1" customHeight="1">
      <c r="D721" s="19"/>
      <c r="F721" s="11" t="s">
        <v>1435</v>
      </c>
    </row>
    <row r="722" ht="15.75" hidden="1" customHeight="1">
      <c r="D722" s="19"/>
      <c r="F722" s="11" t="s">
        <v>1435</v>
      </c>
    </row>
    <row r="723" ht="15.75" hidden="1" customHeight="1">
      <c r="D723" s="19"/>
      <c r="F723" s="11" t="s">
        <v>1435</v>
      </c>
    </row>
    <row r="724" ht="15.75" hidden="1" customHeight="1">
      <c r="D724" s="19"/>
      <c r="F724" s="11" t="s">
        <v>1435</v>
      </c>
    </row>
    <row r="725" ht="15.75" hidden="1" customHeight="1">
      <c r="D725" s="19"/>
      <c r="F725" s="11" t="s">
        <v>1435</v>
      </c>
    </row>
    <row r="726" ht="15.75" hidden="1" customHeight="1">
      <c r="D726" s="19"/>
      <c r="F726" s="11" t="s">
        <v>1435</v>
      </c>
    </row>
    <row r="727" ht="15.75" hidden="1" customHeight="1">
      <c r="D727" s="19"/>
      <c r="F727" s="11" t="s">
        <v>1435</v>
      </c>
    </row>
    <row r="728" ht="15.75" hidden="1" customHeight="1">
      <c r="D728" s="19"/>
      <c r="F728" s="11" t="s">
        <v>1435</v>
      </c>
    </row>
    <row r="729" ht="15.75" hidden="1" customHeight="1">
      <c r="D729" s="19"/>
      <c r="F729" s="11" t="s">
        <v>1435</v>
      </c>
    </row>
    <row r="730" ht="15.75" hidden="1" customHeight="1">
      <c r="D730" s="19"/>
      <c r="F730" s="11" t="s">
        <v>1435</v>
      </c>
    </row>
    <row r="731" ht="15.75" hidden="1" customHeight="1">
      <c r="D731" s="19"/>
      <c r="F731" s="11" t="s">
        <v>1435</v>
      </c>
    </row>
    <row r="732" ht="15.75" hidden="1" customHeight="1">
      <c r="D732" s="19"/>
      <c r="F732" s="11" t="s">
        <v>1435</v>
      </c>
    </row>
    <row r="733" ht="15.75" hidden="1" customHeight="1">
      <c r="D733" s="19"/>
      <c r="F733" s="11" t="s">
        <v>1435</v>
      </c>
    </row>
    <row r="734" ht="15.75" hidden="1" customHeight="1">
      <c r="D734" s="19"/>
      <c r="F734" s="11" t="s">
        <v>1435</v>
      </c>
    </row>
    <row r="735" ht="15.75" hidden="1" customHeight="1">
      <c r="D735" s="19"/>
      <c r="F735" s="11" t="s">
        <v>1435</v>
      </c>
    </row>
    <row r="736" ht="15.75" hidden="1" customHeight="1">
      <c r="D736" s="19"/>
      <c r="F736" s="11" t="s">
        <v>1435</v>
      </c>
    </row>
    <row r="737" ht="15.75" hidden="1" customHeight="1">
      <c r="D737" s="19"/>
      <c r="F737" s="11" t="s">
        <v>1435</v>
      </c>
    </row>
    <row r="738" ht="15.75" hidden="1" customHeight="1">
      <c r="D738" s="19"/>
      <c r="F738" s="11" t="s">
        <v>1435</v>
      </c>
    </row>
    <row r="739" ht="15.75" hidden="1" customHeight="1">
      <c r="D739" s="19"/>
      <c r="F739" s="11" t="s">
        <v>1435</v>
      </c>
    </row>
    <row r="740" ht="15.75" hidden="1" customHeight="1">
      <c r="D740" s="19"/>
      <c r="F740" s="11" t="s">
        <v>1435</v>
      </c>
    </row>
    <row r="741" ht="15.75" hidden="1" customHeight="1">
      <c r="D741" s="19"/>
      <c r="F741" s="11" t="s">
        <v>1435</v>
      </c>
    </row>
    <row r="742" ht="15.75" hidden="1" customHeight="1">
      <c r="D742" s="19"/>
      <c r="F742" s="11" t="s">
        <v>1435</v>
      </c>
    </row>
    <row r="743" ht="15.75" hidden="1" customHeight="1">
      <c r="D743" s="19"/>
      <c r="F743" s="11" t="s">
        <v>1435</v>
      </c>
    </row>
    <row r="744" ht="15.75" hidden="1" customHeight="1">
      <c r="D744" s="19"/>
      <c r="F744" s="11" t="s">
        <v>1435</v>
      </c>
    </row>
    <row r="745" ht="15.75" hidden="1" customHeight="1">
      <c r="D745" s="19"/>
      <c r="F745" s="11" t="s">
        <v>1435</v>
      </c>
    </row>
    <row r="746" ht="15.75" hidden="1" customHeight="1">
      <c r="D746" s="19"/>
      <c r="F746" s="11" t="s">
        <v>1435</v>
      </c>
    </row>
    <row r="747" ht="15.75" hidden="1" customHeight="1">
      <c r="D747" s="19"/>
      <c r="F747" s="11" t="s">
        <v>1435</v>
      </c>
    </row>
    <row r="748" ht="15.75" hidden="1" customHeight="1">
      <c r="D748" s="19"/>
      <c r="F748" s="11" t="s">
        <v>1435</v>
      </c>
    </row>
    <row r="749" ht="15.75" hidden="1" customHeight="1">
      <c r="D749" s="19"/>
      <c r="F749" s="11" t="s">
        <v>1435</v>
      </c>
    </row>
    <row r="750" ht="15.75" hidden="1" customHeight="1">
      <c r="D750" s="19"/>
      <c r="F750" s="11" t="s">
        <v>1435</v>
      </c>
    </row>
    <row r="751" ht="15.75" hidden="1" customHeight="1">
      <c r="D751" s="19"/>
      <c r="F751" s="11" t="s">
        <v>1435</v>
      </c>
    </row>
    <row r="752" ht="15.75" hidden="1" customHeight="1">
      <c r="D752" s="19"/>
      <c r="F752" s="11" t="s">
        <v>1435</v>
      </c>
    </row>
    <row r="753" ht="15.75" hidden="1" customHeight="1">
      <c r="D753" s="19"/>
      <c r="F753" s="11" t="s">
        <v>1435</v>
      </c>
    </row>
    <row r="754" ht="15.75" hidden="1" customHeight="1">
      <c r="D754" s="19"/>
      <c r="F754" s="11" t="s">
        <v>1435</v>
      </c>
    </row>
    <row r="755" ht="15.75" hidden="1" customHeight="1">
      <c r="D755" s="19"/>
      <c r="F755" s="11" t="s">
        <v>1435</v>
      </c>
    </row>
    <row r="756" ht="15.75" hidden="1" customHeight="1">
      <c r="D756" s="19"/>
      <c r="F756" s="11" t="s">
        <v>1435</v>
      </c>
    </row>
    <row r="757" ht="15.75" hidden="1" customHeight="1">
      <c r="D757" s="19"/>
      <c r="F757" s="11" t="s">
        <v>1435</v>
      </c>
    </row>
    <row r="758" ht="15.75" hidden="1" customHeight="1">
      <c r="D758" s="19"/>
      <c r="F758" s="11" t="s">
        <v>1435</v>
      </c>
    </row>
    <row r="759" ht="15.75" hidden="1" customHeight="1">
      <c r="D759" s="19"/>
      <c r="F759" s="11" t="s">
        <v>1435</v>
      </c>
    </row>
    <row r="760" ht="15.75" hidden="1" customHeight="1">
      <c r="D760" s="19"/>
      <c r="F760" s="11" t="s">
        <v>1435</v>
      </c>
    </row>
    <row r="761" ht="15.75" hidden="1" customHeight="1">
      <c r="D761" s="19"/>
      <c r="F761" s="11" t="s">
        <v>1435</v>
      </c>
    </row>
    <row r="762" ht="15.75" hidden="1" customHeight="1">
      <c r="D762" s="19"/>
      <c r="F762" s="11" t="s">
        <v>1435</v>
      </c>
    </row>
    <row r="763" ht="15.75" hidden="1" customHeight="1">
      <c r="D763" s="19"/>
      <c r="F763" s="11" t="s">
        <v>1435</v>
      </c>
    </row>
    <row r="764" ht="15.75" hidden="1" customHeight="1">
      <c r="D764" s="19"/>
      <c r="F764" s="11" t="s">
        <v>1435</v>
      </c>
    </row>
    <row r="765" ht="15.75" hidden="1" customHeight="1">
      <c r="D765" s="19"/>
      <c r="F765" s="11" t="s">
        <v>1435</v>
      </c>
    </row>
    <row r="766" ht="15.75" hidden="1" customHeight="1">
      <c r="D766" s="19"/>
      <c r="F766" s="11" t="s">
        <v>1435</v>
      </c>
    </row>
    <row r="767" ht="15.75" hidden="1" customHeight="1">
      <c r="D767" s="19"/>
      <c r="F767" s="11" t="s">
        <v>1435</v>
      </c>
    </row>
    <row r="768" ht="15.75" hidden="1" customHeight="1">
      <c r="D768" s="19"/>
      <c r="F768" s="11" t="s">
        <v>1435</v>
      </c>
    </row>
    <row r="769" ht="15.75" hidden="1" customHeight="1">
      <c r="D769" s="19"/>
      <c r="F769" s="11" t="s">
        <v>1435</v>
      </c>
    </row>
    <row r="770" ht="15.75" hidden="1" customHeight="1">
      <c r="D770" s="19"/>
      <c r="F770" s="11" t="s">
        <v>1435</v>
      </c>
    </row>
    <row r="771" ht="15.75" hidden="1" customHeight="1">
      <c r="D771" s="19"/>
      <c r="F771" s="11" t="s">
        <v>1435</v>
      </c>
    </row>
    <row r="772" ht="15.75" hidden="1" customHeight="1">
      <c r="D772" s="19"/>
      <c r="F772" s="11" t="s">
        <v>1435</v>
      </c>
    </row>
    <row r="773" ht="15.75" hidden="1" customHeight="1">
      <c r="D773" s="19"/>
      <c r="F773" s="11" t="s">
        <v>1435</v>
      </c>
    </row>
    <row r="774" ht="15.75" hidden="1" customHeight="1">
      <c r="D774" s="19"/>
      <c r="F774" s="11" t="s">
        <v>1435</v>
      </c>
    </row>
    <row r="775" ht="15.75" hidden="1" customHeight="1">
      <c r="D775" s="19"/>
      <c r="F775" s="11" t="s">
        <v>1435</v>
      </c>
    </row>
    <row r="776" ht="15.75" hidden="1" customHeight="1">
      <c r="D776" s="19"/>
      <c r="F776" s="11" t="s">
        <v>1435</v>
      </c>
    </row>
    <row r="777" ht="15.75" hidden="1" customHeight="1">
      <c r="D777" s="19"/>
      <c r="F777" s="11" t="s">
        <v>1435</v>
      </c>
    </row>
    <row r="778" ht="15.75" hidden="1" customHeight="1">
      <c r="D778" s="19"/>
      <c r="F778" s="11" t="s">
        <v>1435</v>
      </c>
    </row>
    <row r="779" ht="15.75" hidden="1" customHeight="1">
      <c r="D779" s="19"/>
      <c r="F779" s="11" t="s">
        <v>1435</v>
      </c>
    </row>
    <row r="780" ht="15.75" hidden="1" customHeight="1">
      <c r="D780" s="19"/>
      <c r="F780" s="11" t="s">
        <v>1435</v>
      </c>
    </row>
    <row r="781" ht="15.75" hidden="1" customHeight="1">
      <c r="D781" s="19"/>
      <c r="F781" s="11" t="s">
        <v>1435</v>
      </c>
    </row>
    <row r="782" ht="15.75" hidden="1" customHeight="1">
      <c r="D782" s="19"/>
      <c r="F782" s="11" t="s">
        <v>1435</v>
      </c>
    </row>
    <row r="783" ht="15.75" hidden="1" customHeight="1">
      <c r="D783" s="19"/>
      <c r="F783" s="11" t="s">
        <v>1435</v>
      </c>
    </row>
    <row r="784" ht="15.75" hidden="1" customHeight="1">
      <c r="D784" s="19"/>
      <c r="F784" s="11" t="s">
        <v>1435</v>
      </c>
    </row>
    <row r="785" ht="15.75" hidden="1" customHeight="1">
      <c r="D785" s="19"/>
      <c r="F785" s="11" t="s">
        <v>1435</v>
      </c>
    </row>
    <row r="786" ht="15.75" hidden="1" customHeight="1">
      <c r="D786" s="19"/>
      <c r="F786" s="11" t="s">
        <v>1435</v>
      </c>
    </row>
    <row r="787" ht="15.75" hidden="1" customHeight="1">
      <c r="D787" s="19"/>
      <c r="F787" s="11" t="s">
        <v>1435</v>
      </c>
    </row>
    <row r="788" ht="15.75" hidden="1" customHeight="1">
      <c r="D788" s="19"/>
      <c r="F788" s="11" t="s">
        <v>1435</v>
      </c>
    </row>
    <row r="789" ht="15.75" hidden="1" customHeight="1">
      <c r="D789" s="19"/>
      <c r="F789" s="11" t="s">
        <v>1435</v>
      </c>
    </row>
    <row r="790" ht="15.75" hidden="1" customHeight="1">
      <c r="D790" s="19"/>
      <c r="F790" s="11" t="s">
        <v>1435</v>
      </c>
    </row>
    <row r="791" ht="15.75" hidden="1" customHeight="1">
      <c r="D791" s="19"/>
      <c r="F791" s="11" t="s">
        <v>1435</v>
      </c>
    </row>
    <row r="792" ht="15.75" hidden="1" customHeight="1">
      <c r="D792" s="19"/>
      <c r="F792" s="11" t="s">
        <v>1435</v>
      </c>
    </row>
    <row r="793" ht="15.75" hidden="1" customHeight="1">
      <c r="D793" s="19"/>
      <c r="F793" s="11" t="s">
        <v>1435</v>
      </c>
    </row>
    <row r="794" ht="15.75" hidden="1" customHeight="1">
      <c r="D794" s="19"/>
      <c r="F794" s="11" t="s">
        <v>1435</v>
      </c>
    </row>
    <row r="795" ht="15.75" hidden="1" customHeight="1">
      <c r="D795" s="19"/>
      <c r="F795" s="11" t="s">
        <v>1435</v>
      </c>
    </row>
    <row r="796" ht="15.75" hidden="1" customHeight="1">
      <c r="D796" s="19"/>
      <c r="F796" s="11" t="s">
        <v>1435</v>
      </c>
    </row>
    <row r="797" ht="15.75" hidden="1" customHeight="1">
      <c r="D797" s="19"/>
      <c r="F797" s="11" t="s">
        <v>1435</v>
      </c>
    </row>
    <row r="798" ht="15.75" hidden="1" customHeight="1">
      <c r="D798" s="19"/>
      <c r="F798" s="11" t="s">
        <v>1435</v>
      </c>
    </row>
    <row r="799" ht="15.75" hidden="1" customHeight="1">
      <c r="D799" s="19"/>
      <c r="F799" s="11" t="s">
        <v>1435</v>
      </c>
    </row>
    <row r="800" ht="15.75" hidden="1" customHeight="1">
      <c r="D800" s="19"/>
      <c r="F800" s="11" t="s">
        <v>1435</v>
      </c>
    </row>
    <row r="801" ht="15.75" hidden="1" customHeight="1">
      <c r="D801" s="19"/>
      <c r="F801" s="11" t="s">
        <v>1435</v>
      </c>
    </row>
    <row r="802" ht="15.75" hidden="1" customHeight="1">
      <c r="D802" s="19"/>
      <c r="F802" s="11" t="s">
        <v>1435</v>
      </c>
    </row>
    <row r="803" ht="15.75" hidden="1" customHeight="1">
      <c r="D803" s="19"/>
      <c r="F803" s="11" t="s">
        <v>1435</v>
      </c>
    </row>
    <row r="804" ht="15.75" hidden="1" customHeight="1">
      <c r="D804" s="19"/>
      <c r="F804" s="11" t="s">
        <v>1435</v>
      </c>
    </row>
    <row r="805" ht="15.75" hidden="1" customHeight="1">
      <c r="D805" s="19"/>
      <c r="F805" s="11" t="s">
        <v>1435</v>
      </c>
    </row>
    <row r="806" ht="15.75" hidden="1" customHeight="1">
      <c r="D806" s="19"/>
      <c r="F806" s="11" t="s">
        <v>1435</v>
      </c>
    </row>
    <row r="807" ht="15.75" hidden="1" customHeight="1">
      <c r="D807" s="19"/>
      <c r="F807" s="11" t="s">
        <v>1435</v>
      </c>
    </row>
    <row r="808" ht="15.75" hidden="1" customHeight="1">
      <c r="D808" s="19"/>
      <c r="F808" s="11" t="s">
        <v>1435</v>
      </c>
    </row>
    <row r="809" ht="15.75" hidden="1" customHeight="1">
      <c r="D809" s="19"/>
      <c r="F809" s="11" t="s">
        <v>1435</v>
      </c>
    </row>
    <row r="810" ht="15.75" hidden="1" customHeight="1">
      <c r="D810" s="19"/>
      <c r="F810" s="11" t="s">
        <v>1435</v>
      </c>
    </row>
    <row r="811" ht="15.75" hidden="1" customHeight="1">
      <c r="D811" s="19"/>
      <c r="F811" s="11" t="s">
        <v>1435</v>
      </c>
    </row>
    <row r="812" ht="15.75" hidden="1" customHeight="1">
      <c r="D812" s="19"/>
      <c r="F812" s="11" t="s">
        <v>1435</v>
      </c>
    </row>
    <row r="813" ht="15.75" hidden="1" customHeight="1">
      <c r="D813" s="19"/>
      <c r="F813" s="11" t="s">
        <v>1435</v>
      </c>
    </row>
    <row r="814" ht="15.75" hidden="1" customHeight="1">
      <c r="D814" s="19"/>
      <c r="F814" s="11" t="s">
        <v>1435</v>
      </c>
    </row>
    <row r="815" ht="15.75" hidden="1" customHeight="1">
      <c r="D815" s="19"/>
      <c r="F815" s="11" t="s">
        <v>1435</v>
      </c>
    </row>
    <row r="816" ht="15.75" hidden="1" customHeight="1">
      <c r="D816" s="19"/>
      <c r="F816" s="11" t="s">
        <v>1435</v>
      </c>
    </row>
    <row r="817" ht="15.75" hidden="1" customHeight="1">
      <c r="D817" s="19"/>
      <c r="F817" s="11" t="s">
        <v>1435</v>
      </c>
    </row>
    <row r="818" ht="15.75" hidden="1" customHeight="1">
      <c r="D818" s="19"/>
      <c r="F818" s="11" t="s">
        <v>1435</v>
      </c>
    </row>
    <row r="819" ht="15.75" hidden="1" customHeight="1">
      <c r="D819" s="19"/>
      <c r="F819" s="11" t="s">
        <v>1435</v>
      </c>
    </row>
    <row r="820" ht="15.75" hidden="1" customHeight="1">
      <c r="D820" s="19"/>
      <c r="F820" s="11" t="s">
        <v>1435</v>
      </c>
    </row>
    <row r="821" ht="15.75" hidden="1" customHeight="1">
      <c r="D821" s="19"/>
      <c r="F821" s="11" t="s">
        <v>1435</v>
      </c>
    </row>
    <row r="822" ht="15.75" hidden="1" customHeight="1">
      <c r="D822" s="19"/>
      <c r="F822" s="11" t="s">
        <v>1435</v>
      </c>
    </row>
    <row r="823" ht="15.75" hidden="1" customHeight="1">
      <c r="D823" s="19"/>
      <c r="F823" s="11" t="s">
        <v>1435</v>
      </c>
    </row>
    <row r="824" ht="15.75" hidden="1" customHeight="1">
      <c r="D824" s="19"/>
      <c r="F824" s="11" t="s">
        <v>1435</v>
      </c>
    </row>
    <row r="825" ht="15.75" hidden="1" customHeight="1">
      <c r="D825" s="19"/>
      <c r="F825" s="11" t="s">
        <v>1435</v>
      </c>
    </row>
    <row r="826" ht="15.75" hidden="1" customHeight="1">
      <c r="D826" s="19"/>
      <c r="F826" s="11" t="s">
        <v>1435</v>
      </c>
    </row>
    <row r="827" ht="15.75" hidden="1" customHeight="1">
      <c r="D827" s="19"/>
      <c r="F827" s="11" t="s">
        <v>1435</v>
      </c>
    </row>
    <row r="828" ht="15.75" hidden="1" customHeight="1">
      <c r="D828" s="19"/>
      <c r="F828" s="11" t="s">
        <v>1435</v>
      </c>
    </row>
    <row r="829" ht="15.75" hidden="1" customHeight="1">
      <c r="D829" s="19"/>
      <c r="F829" s="11" t="s">
        <v>1435</v>
      </c>
    </row>
    <row r="830" ht="15.75" hidden="1" customHeight="1">
      <c r="D830" s="19"/>
      <c r="F830" s="11" t="s">
        <v>1435</v>
      </c>
    </row>
    <row r="831" ht="15.75" hidden="1" customHeight="1">
      <c r="D831" s="19"/>
      <c r="F831" s="11" t="s">
        <v>1435</v>
      </c>
    </row>
    <row r="832" ht="15.75" hidden="1" customHeight="1">
      <c r="D832" s="19"/>
      <c r="F832" s="11" t="s">
        <v>1435</v>
      </c>
    </row>
    <row r="833" ht="15.75" hidden="1" customHeight="1">
      <c r="D833" s="19"/>
      <c r="F833" s="11" t="s">
        <v>1435</v>
      </c>
    </row>
    <row r="834" ht="15.75" hidden="1" customHeight="1">
      <c r="D834" s="19"/>
      <c r="F834" s="11" t="s">
        <v>1435</v>
      </c>
    </row>
    <row r="835" ht="15.75" hidden="1" customHeight="1">
      <c r="D835" s="19"/>
      <c r="F835" s="11" t="s">
        <v>1435</v>
      </c>
    </row>
    <row r="836" ht="15.75" hidden="1" customHeight="1">
      <c r="D836" s="19"/>
      <c r="F836" s="11" t="s">
        <v>1435</v>
      </c>
    </row>
    <row r="837" ht="15.75" hidden="1" customHeight="1">
      <c r="D837" s="19"/>
      <c r="F837" s="11" t="s">
        <v>1435</v>
      </c>
    </row>
    <row r="838" ht="15.75" hidden="1" customHeight="1">
      <c r="D838" s="19"/>
      <c r="F838" s="11" t="s">
        <v>1435</v>
      </c>
    </row>
    <row r="839" ht="15.75" hidden="1" customHeight="1">
      <c r="D839" s="19"/>
      <c r="F839" s="11" t="s">
        <v>1435</v>
      </c>
    </row>
    <row r="840" ht="15.75" hidden="1" customHeight="1">
      <c r="D840" s="19"/>
      <c r="F840" s="11" t="s">
        <v>1435</v>
      </c>
    </row>
    <row r="841" ht="15.75" hidden="1" customHeight="1">
      <c r="D841" s="19"/>
      <c r="F841" s="11" t="s">
        <v>1435</v>
      </c>
    </row>
    <row r="842" ht="15.75" hidden="1" customHeight="1">
      <c r="D842" s="19"/>
      <c r="F842" s="11" t="s">
        <v>1435</v>
      </c>
    </row>
    <row r="843" ht="15.75" hidden="1" customHeight="1">
      <c r="D843" s="19"/>
      <c r="F843" s="11" t="s">
        <v>1435</v>
      </c>
    </row>
    <row r="844" ht="15.75" hidden="1" customHeight="1">
      <c r="D844" s="19"/>
      <c r="F844" s="11" t="s">
        <v>1435</v>
      </c>
    </row>
    <row r="845" ht="15.75" hidden="1" customHeight="1">
      <c r="D845" s="19"/>
      <c r="F845" s="11" t="s">
        <v>1435</v>
      </c>
    </row>
    <row r="846" ht="15.75" hidden="1" customHeight="1">
      <c r="D846" s="19"/>
      <c r="F846" s="11" t="s">
        <v>1435</v>
      </c>
    </row>
    <row r="847" ht="15.75" hidden="1" customHeight="1">
      <c r="D847" s="19"/>
      <c r="F847" s="11" t="s">
        <v>1435</v>
      </c>
    </row>
    <row r="848" ht="15.75" hidden="1" customHeight="1">
      <c r="D848" s="19"/>
      <c r="F848" s="11" t="s">
        <v>1435</v>
      </c>
    </row>
    <row r="849" ht="15.75" hidden="1" customHeight="1">
      <c r="D849" s="19"/>
      <c r="F849" s="11" t="s">
        <v>1435</v>
      </c>
    </row>
    <row r="850" ht="15.75" hidden="1" customHeight="1">
      <c r="D850" s="19"/>
      <c r="F850" s="11" t="s">
        <v>1435</v>
      </c>
    </row>
    <row r="851" ht="15.75" hidden="1" customHeight="1">
      <c r="D851" s="19"/>
      <c r="F851" s="11" t="s">
        <v>1435</v>
      </c>
    </row>
    <row r="852" ht="15.75" hidden="1" customHeight="1">
      <c r="D852" s="19"/>
      <c r="F852" s="11" t="s">
        <v>1435</v>
      </c>
    </row>
    <row r="853" ht="15.75" hidden="1" customHeight="1">
      <c r="D853" s="19"/>
      <c r="F853" s="11" t="s">
        <v>1435</v>
      </c>
    </row>
    <row r="854" ht="15.75" hidden="1" customHeight="1">
      <c r="D854" s="19"/>
      <c r="F854" s="11" t="s">
        <v>1435</v>
      </c>
    </row>
    <row r="855" ht="15.75" hidden="1" customHeight="1">
      <c r="D855" s="19"/>
      <c r="F855" s="11" t="s">
        <v>1435</v>
      </c>
    </row>
    <row r="856" ht="15.75" hidden="1" customHeight="1">
      <c r="D856" s="19"/>
      <c r="F856" s="11" t="s">
        <v>1435</v>
      </c>
    </row>
    <row r="857" ht="15.75" hidden="1" customHeight="1">
      <c r="D857" s="19"/>
      <c r="F857" s="11" t="s">
        <v>1435</v>
      </c>
    </row>
    <row r="858" ht="15.75" hidden="1" customHeight="1">
      <c r="D858" s="19"/>
      <c r="F858" s="11" t="s">
        <v>1435</v>
      </c>
    </row>
    <row r="859" ht="15.75" hidden="1" customHeight="1">
      <c r="D859" s="19"/>
      <c r="F859" s="11" t="s">
        <v>1435</v>
      </c>
    </row>
    <row r="860" ht="15.75" hidden="1" customHeight="1">
      <c r="D860" s="19"/>
      <c r="F860" s="11" t="s">
        <v>1435</v>
      </c>
    </row>
    <row r="861" ht="15.75" hidden="1" customHeight="1">
      <c r="D861" s="19"/>
      <c r="F861" s="11" t="s">
        <v>1435</v>
      </c>
    </row>
    <row r="862" ht="15.75" hidden="1" customHeight="1">
      <c r="D862" s="19"/>
      <c r="F862" s="11" t="s">
        <v>1435</v>
      </c>
    </row>
    <row r="863" ht="15.75" hidden="1" customHeight="1">
      <c r="D863" s="19"/>
      <c r="F863" s="11" t="s">
        <v>1435</v>
      </c>
    </row>
    <row r="864" ht="15.75" hidden="1" customHeight="1">
      <c r="D864" s="19"/>
      <c r="F864" s="11" t="s">
        <v>1435</v>
      </c>
    </row>
    <row r="865" ht="15.75" hidden="1" customHeight="1">
      <c r="D865" s="19"/>
      <c r="F865" s="11" t="s">
        <v>1435</v>
      </c>
    </row>
    <row r="866" ht="15.75" hidden="1" customHeight="1">
      <c r="D866" s="19"/>
      <c r="F866" s="11" t="s">
        <v>1435</v>
      </c>
    </row>
    <row r="867" ht="15.75" hidden="1" customHeight="1">
      <c r="D867" s="19"/>
      <c r="F867" s="11" t="s">
        <v>1435</v>
      </c>
    </row>
    <row r="868" ht="15.75" hidden="1" customHeight="1">
      <c r="D868" s="19"/>
      <c r="F868" s="11" t="s">
        <v>1435</v>
      </c>
    </row>
    <row r="869" ht="15.75" hidden="1" customHeight="1">
      <c r="D869" s="19"/>
      <c r="F869" s="11" t="s">
        <v>1435</v>
      </c>
    </row>
    <row r="870" ht="15.75" hidden="1" customHeight="1">
      <c r="D870" s="19"/>
      <c r="F870" s="11" t="s">
        <v>1435</v>
      </c>
    </row>
    <row r="871" ht="15.75" hidden="1" customHeight="1">
      <c r="D871" s="19"/>
      <c r="F871" s="11" t="s">
        <v>1435</v>
      </c>
    </row>
    <row r="872" ht="15.75" hidden="1" customHeight="1">
      <c r="D872" s="19"/>
      <c r="F872" s="11" t="s">
        <v>1435</v>
      </c>
    </row>
    <row r="873" ht="15.75" hidden="1" customHeight="1">
      <c r="D873" s="19"/>
      <c r="F873" s="11" t="s">
        <v>1435</v>
      </c>
    </row>
    <row r="874" ht="15.75" hidden="1" customHeight="1">
      <c r="D874" s="19"/>
      <c r="F874" s="11" t="s">
        <v>1435</v>
      </c>
    </row>
    <row r="875" ht="15.75" hidden="1" customHeight="1">
      <c r="D875" s="19"/>
      <c r="F875" s="11" t="s">
        <v>1435</v>
      </c>
    </row>
    <row r="876" ht="15.75" hidden="1" customHeight="1">
      <c r="D876" s="19"/>
      <c r="F876" s="11" t="s">
        <v>1435</v>
      </c>
    </row>
    <row r="877" ht="15.75" hidden="1" customHeight="1">
      <c r="D877" s="19"/>
      <c r="F877" s="11" t="s">
        <v>1435</v>
      </c>
    </row>
    <row r="878" ht="15.75" hidden="1" customHeight="1">
      <c r="D878" s="19"/>
      <c r="F878" s="11" t="s">
        <v>1435</v>
      </c>
    </row>
    <row r="879" ht="15.75" hidden="1" customHeight="1">
      <c r="D879" s="19"/>
      <c r="F879" s="11" t="s">
        <v>1435</v>
      </c>
    </row>
    <row r="880" ht="15.75" hidden="1" customHeight="1">
      <c r="D880" s="19"/>
      <c r="F880" s="11" t="s">
        <v>1435</v>
      </c>
    </row>
    <row r="881" ht="15.75" hidden="1" customHeight="1">
      <c r="D881" s="19"/>
      <c r="F881" s="11" t="s">
        <v>1435</v>
      </c>
    </row>
    <row r="882" ht="15.75" hidden="1" customHeight="1">
      <c r="D882" s="19"/>
      <c r="F882" s="11" t="s">
        <v>1435</v>
      </c>
    </row>
    <row r="883" ht="15.75" hidden="1" customHeight="1">
      <c r="D883" s="19"/>
      <c r="F883" s="11" t="s">
        <v>1435</v>
      </c>
    </row>
    <row r="884" ht="15.75" hidden="1" customHeight="1">
      <c r="D884" s="19"/>
      <c r="F884" s="11" t="s">
        <v>1435</v>
      </c>
    </row>
    <row r="885" ht="15.75" hidden="1" customHeight="1">
      <c r="D885" s="19"/>
      <c r="F885" s="11" t="s">
        <v>1435</v>
      </c>
    </row>
    <row r="886" ht="15.75" hidden="1" customHeight="1">
      <c r="D886" s="19"/>
      <c r="F886" s="11" t="s">
        <v>1435</v>
      </c>
    </row>
    <row r="887" ht="15.75" hidden="1" customHeight="1">
      <c r="D887" s="19"/>
      <c r="F887" s="11" t="s">
        <v>1435</v>
      </c>
    </row>
    <row r="888" ht="15.75" hidden="1" customHeight="1">
      <c r="D888" s="19"/>
      <c r="F888" s="11" t="s">
        <v>1435</v>
      </c>
    </row>
    <row r="889" ht="15.75" hidden="1" customHeight="1">
      <c r="D889" s="19"/>
      <c r="F889" s="11" t="s">
        <v>1435</v>
      </c>
    </row>
    <row r="890" ht="15.75" hidden="1" customHeight="1">
      <c r="D890" s="19"/>
      <c r="F890" s="11" t="s">
        <v>1435</v>
      </c>
    </row>
    <row r="891" ht="15.75" hidden="1" customHeight="1">
      <c r="D891" s="19"/>
      <c r="F891" s="11" t="s">
        <v>1435</v>
      </c>
    </row>
    <row r="892" ht="15.75" hidden="1" customHeight="1">
      <c r="D892" s="19"/>
      <c r="F892" s="11" t="s">
        <v>1435</v>
      </c>
    </row>
    <row r="893" ht="15.75" hidden="1" customHeight="1">
      <c r="D893" s="19"/>
      <c r="F893" s="11" t="s">
        <v>1435</v>
      </c>
    </row>
    <row r="894" ht="15.75" hidden="1" customHeight="1">
      <c r="D894" s="19"/>
      <c r="F894" s="11" t="s">
        <v>1435</v>
      </c>
    </row>
    <row r="895" ht="15.75" hidden="1" customHeight="1">
      <c r="D895" s="19"/>
      <c r="F895" s="11" t="s">
        <v>1435</v>
      </c>
    </row>
    <row r="896" ht="15.75" hidden="1" customHeight="1">
      <c r="D896" s="19"/>
      <c r="F896" s="11" t="s">
        <v>1435</v>
      </c>
    </row>
    <row r="897" ht="15.75" hidden="1" customHeight="1">
      <c r="D897" s="19"/>
      <c r="F897" s="11" t="s">
        <v>1435</v>
      </c>
    </row>
    <row r="898" ht="15.75" hidden="1" customHeight="1">
      <c r="D898" s="19"/>
      <c r="F898" s="11" t="s">
        <v>1435</v>
      </c>
    </row>
    <row r="899" ht="15.75" hidden="1" customHeight="1">
      <c r="D899" s="19"/>
      <c r="F899" s="11" t="s">
        <v>1435</v>
      </c>
    </row>
    <row r="900" ht="15.75" hidden="1" customHeight="1">
      <c r="D900" s="19"/>
      <c r="F900" s="11" t="s">
        <v>1435</v>
      </c>
    </row>
    <row r="901" ht="15.75" hidden="1" customHeight="1">
      <c r="D901" s="19"/>
      <c r="F901" s="11" t="s">
        <v>1435</v>
      </c>
    </row>
    <row r="902" ht="15.75" hidden="1" customHeight="1">
      <c r="D902" s="19"/>
      <c r="F902" s="11" t="s">
        <v>1435</v>
      </c>
    </row>
    <row r="903" ht="15.75" hidden="1" customHeight="1">
      <c r="D903" s="19"/>
      <c r="F903" s="11" t="s">
        <v>1435</v>
      </c>
    </row>
    <row r="904" ht="15.75" hidden="1" customHeight="1">
      <c r="D904" s="19"/>
      <c r="F904" s="11" t="s">
        <v>1435</v>
      </c>
    </row>
    <row r="905" ht="15.75" hidden="1" customHeight="1">
      <c r="D905" s="19"/>
      <c r="F905" s="11" t="s">
        <v>1435</v>
      </c>
    </row>
    <row r="906" ht="15.75" hidden="1" customHeight="1">
      <c r="D906" s="19"/>
      <c r="F906" s="11" t="s">
        <v>1435</v>
      </c>
    </row>
    <row r="907" ht="15.75" hidden="1" customHeight="1">
      <c r="D907" s="19"/>
      <c r="F907" s="11" t="s">
        <v>1435</v>
      </c>
    </row>
    <row r="908" ht="15.75" hidden="1" customHeight="1">
      <c r="D908" s="19"/>
      <c r="F908" s="11" t="s">
        <v>1435</v>
      </c>
    </row>
    <row r="909" ht="15.75" hidden="1" customHeight="1">
      <c r="D909" s="19"/>
      <c r="F909" s="11" t="s">
        <v>1435</v>
      </c>
    </row>
    <row r="910" ht="15.75" hidden="1" customHeight="1">
      <c r="D910" s="19"/>
      <c r="F910" s="11" t="s">
        <v>1435</v>
      </c>
    </row>
    <row r="911" ht="15.75" hidden="1" customHeight="1">
      <c r="D911" s="19"/>
      <c r="F911" s="11" t="s">
        <v>1435</v>
      </c>
    </row>
    <row r="912" ht="15.75" hidden="1" customHeight="1">
      <c r="D912" s="19"/>
      <c r="F912" s="11" t="s">
        <v>1435</v>
      </c>
    </row>
    <row r="913" ht="15.75" hidden="1" customHeight="1">
      <c r="D913" s="19"/>
      <c r="F913" s="11" t="s">
        <v>1435</v>
      </c>
    </row>
    <row r="914" ht="15.75" hidden="1" customHeight="1">
      <c r="D914" s="19"/>
      <c r="F914" s="11" t="s">
        <v>1435</v>
      </c>
    </row>
    <row r="915" ht="15.75" hidden="1" customHeight="1">
      <c r="D915" s="19"/>
      <c r="F915" s="11" t="s">
        <v>1435</v>
      </c>
    </row>
    <row r="916" ht="15.75" hidden="1" customHeight="1">
      <c r="D916" s="19"/>
      <c r="F916" s="11" t="s">
        <v>1435</v>
      </c>
    </row>
    <row r="917" ht="15.75" hidden="1" customHeight="1">
      <c r="D917" s="19"/>
      <c r="F917" s="11" t="s">
        <v>1435</v>
      </c>
    </row>
    <row r="918" ht="15.75" hidden="1" customHeight="1">
      <c r="D918" s="19"/>
      <c r="F918" s="11" t="s">
        <v>1435</v>
      </c>
    </row>
    <row r="919" ht="15.75" hidden="1" customHeight="1">
      <c r="D919" s="19"/>
      <c r="F919" s="11" t="s">
        <v>1435</v>
      </c>
    </row>
    <row r="920" ht="15.75" hidden="1" customHeight="1">
      <c r="D920" s="19"/>
      <c r="F920" s="11" t="s">
        <v>1435</v>
      </c>
    </row>
    <row r="921" ht="15.75" hidden="1" customHeight="1">
      <c r="D921" s="19"/>
      <c r="F921" s="11" t="s">
        <v>1435</v>
      </c>
    </row>
    <row r="922" ht="15.75" hidden="1" customHeight="1">
      <c r="D922" s="19"/>
      <c r="F922" s="11" t="s">
        <v>1435</v>
      </c>
    </row>
    <row r="923" ht="15.75" hidden="1" customHeight="1">
      <c r="D923" s="19"/>
      <c r="F923" s="11" t="s">
        <v>1435</v>
      </c>
    </row>
    <row r="924" ht="15.75" hidden="1" customHeight="1">
      <c r="D924" s="19"/>
      <c r="F924" s="11" t="s">
        <v>1435</v>
      </c>
    </row>
    <row r="925" ht="15.75" hidden="1" customHeight="1">
      <c r="D925" s="19"/>
      <c r="F925" s="11" t="s">
        <v>1435</v>
      </c>
    </row>
    <row r="926" ht="15.75" hidden="1" customHeight="1">
      <c r="D926" s="19"/>
      <c r="F926" s="11" t="s">
        <v>1435</v>
      </c>
    </row>
    <row r="927" ht="15.75" hidden="1" customHeight="1">
      <c r="D927" s="19"/>
      <c r="F927" s="11" t="s">
        <v>1435</v>
      </c>
    </row>
    <row r="928" ht="15.75" hidden="1" customHeight="1">
      <c r="D928" s="19"/>
      <c r="F928" s="11" t="s">
        <v>1435</v>
      </c>
    </row>
    <row r="929" ht="15.75" hidden="1" customHeight="1">
      <c r="D929" s="19"/>
      <c r="F929" s="11" t="s">
        <v>1435</v>
      </c>
    </row>
    <row r="930" ht="15.75" hidden="1" customHeight="1">
      <c r="D930" s="19"/>
      <c r="F930" s="11" t="s">
        <v>1435</v>
      </c>
    </row>
    <row r="931" ht="15.75" hidden="1" customHeight="1">
      <c r="D931" s="19"/>
      <c r="F931" s="11" t="s">
        <v>1435</v>
      </c>
    </row>
    <row r="932" ht="15.75" hidden="1" customHeight="1">
      <c r="D932" s="19"/>
      <c r="F932" s="11" t="s">
        <v>1435</v>
      </c>
    </row>
    <row r="933" ht="15.75" hidden="1" customHeight="1">
      <c r="D933" s="19"/>
      <c r="F933" s="11" t="s">
        <v>1435</v>
      </c>
    </row>
    <row r="934" ht="15.75" hidden="1" customHeight="1">
      <c r="D934" s="19"/>
      <c r="F934" s="11" t="s">
        <v>1435</v>
      </c>
    </row>
    <row r="935" ht="15.75" hidden="1" customHeight="1">
      <c r="D935" s="19"/>
      <c r="F935" s="11" t="s">
        <v>1435</v>
      </c>
    </row>
    <row r="936" ht="15.75" hidden="1" customHeight="1">
      <c r="D936" s="19"/>
      <c r="F936" s="11" t="s">
        <v>1435</v>
      </c>
    </row>
    <row r="937" ht="15.75" hidden="1" customHeight="1">
      <c r="D937" s="19"/>
      <c r="F937" s="11" t="s">
        <v>1435</v>
      </c>
    </row>
    <row r="938" ht="15.75" hidden="1" customHeight="1">
      <c r="D938" s="19"/>
      <c r="F938" s="11" t="s">
        <v>1435</v>
      </c>
    </row>
    <row r="939" ht="15.75" hidden="1" customHeight="1">
      <c r="D939" s="19"/>
      <c r="F939" s="11" t="s">
        <v>1435</v>
      </c>
    </row>
    <row r="940" ht="15.75" hidden="1" customHeight="1">
      <c r="D940" s="19"/>
      <c r="F940" s="11" t="s">
        <v>1435</v>
      </c>
    </row>
    <row r="941" ht="15.75" hidden="1" customHeight="1">
      <c r="D941" s="19"/>
      <c r="F941" s="11" t="s">
        <v>1435</v>
      </c>
    </row>
    <row r="942" ht="15.75" hidden="1" customHeight="1">
      <c r="D942" s="19"/>
      <c r="F942" s="11" t="s">
        <v>1435</v>
      </c>
    </row>
    <row r="943" ht="15.75" hidden="1" customHeight="1">
      <c r="D943" s="19"/>
      <c r="F943" s="11" t="s">
        <v>1435</v>
      </c>
    </row>
    <row r="944" ht="15.75" hidden="1" customHeight="1">
      <c r="D944" s="19"/>
      <c r="F944" s="11" t="s">
        <v>1435</v>
      </c>
    </row>
    <row r="945" ht="15.75" hidden="1" customHeight="1">
      <c r="D945" s="19"/>
      <c r="F945" s="11" t="s">
        <v>1435</v>
      </c>
    </row>
    <row r="946" ht="15.75" hidden="1" customHeight="1">
      <c r="D946" s="19"/>
      <c r="F946" s="11" t="s">
        <v>1435</v>
      </c>
    </row>
    <row r="947" ht="15.75" hidden="1" customHeight="1">
      <c r="D947" s="19"/>
      <c r="F947" s="11" t="s">
        <v>1435</v>
      </c>
    </row>
    <row r="948" ht="15.75" hidden="1" customHeight="1">
      <c r="D948" s="19"/>
      <c r="F948" s="11" t="s">
        <v>1435</v>
      </c>
    </row>
    <row r="949" ht="15.75" hidden="1" customHeight="1">
      <c r="D949" s="19"/>
      <c r="F949" s="11" t="s">
        <v>1435</v>
      </c>
    </row>
    <row r="950" ht="15.75" hidden="1" customHeight="1">
      <c r="D950" s="19"/>
      <c r="F950" s="11" t="s">
        <v>1435</v>
      </c>
    </row>
    <row r="951" ht="15.75" hidden="1" customHeight="1">
      <c r="D951" s="19"/>
      <c r="F951" s="11" t="s">
        <v>1435</v>
      </c>
    </row>
    <row r="952" ht="15.75" hidden="1" customHeight="1">
      <c r="D952" s="19"/>
      <c r="F952" s="11" t="s">
        <v>1435</v>
      </c>
    </row>
    <row r="953" ht="15.75" hidden="1" customHeight="1">
      <c r="D953" s="19"/>
      <c r="F953" s="11" t="s">
        <v>1435</v>
      </c>
    </row>
    <row r="954" ht="15.75" hidden="1" customHeight="1">
      <c r="D954" s="19"/>
      <c r="F954" s="11" t="s">
        <v>1435</v>
      </c>
    </row>
    <row r="955" ht="15.75" hidden="1" customHeight="1">
      <c r="D955" s="19"/>
      <c r="F955" s="11" t="s">
        <v>1435</v>
      </c>
    </row>
    <row r="956" ht="15.75" hidden="1" customHeight="1">
      <c r="D956" s="19"/>
      <c r="F956" s="11" t="s">
        <v>1435</v>
      </c>
    </row>
    <row r="957" ht="15.75" hidden="1" customHeight="1">
      <c r="D957" s="19"/>
      <c r="F957" s="11" t="s">
        <v>1435</v>
      </c>
    </row>
    <row r="958" ht="15.75" hidden="1" customHeight="1">
      <c r="D958" s="19"/>
      <c r="F958" s="11" t="s">
        <v>1435</v>
      </c>
    </row>
    <row r="959" ht="15.75" hidden="1" customHeight="1">
      <c r="D959" s="19"/>
      <c r="F959" s="11" t="s">
        <v>1435</v>
      </c>
    </row>
    <row r="960" ht="15.75" hidden="1" customHeight="1">
      <c r="D960" s="19"/>
      <c r="F960" s="11" t="s">
        <v>1435</v>
      </c>
    </row>
    <row r="961" ht="15.75" hidden="1" customHeight="1">
      <c r="D961" s="19"/>
      <c r="F961" s="11" t="s">
        <v>1435</v>
      </c>
    </row>
    <row r="962" ht="15.75" hidden="1" customHeight="1">
      <c r="D962" s="19"/>
      <c r="F962" s="11" t="s">
        <v>1435</v>
      </c>
    </row>
    <row r="963" ht="15.75" hidden="1" customHeight="1">
      <c r="D963" s="19"/>
      <c r="F963" s="11" t="s">
        <v>1435</v>
      </c>
    </row>
    <row r="964" ht="15.75" hidden="1" customHeight="1">
      <c r="D964" s="19"/>
      <c r="F964" s="11" t="s">
        <v>1435</v>
      </c>
    </row>
    <row r="965" ht="15.75" hidden="1" customHeight="1">
      <c r="D965" s="19"/>
      <c r="F965" s="11" t="s">
        <v>1435</v>
      </c>
    </row>
    <row r="966" ht="15.75" hidden="1" customHeight="1">
      <c r="D966" s="19"/>
      <c r="F966" s="11" t="s">
        <v>1435</v>
      </c>
    </row>
    <row r="967" ht="15.75" hidden="1" customHeight="1">
      <c r="D967" s="19"/>
      <c r="F967" s="11" t="s">
        <v>1435</v>
      </c>
    </row>
    <row r="968" ht="15.75" hidden="1" customHeight="1">
      <c r="D968" s="19"/>
      <c r="F968" s="11" t="s">
        <v>1435</v>
      </c>
    </row>
    <row r="969" ht="15.75" hidden="1" customHeight="1">
      <c r="D969" s="19"/>
      <c r="F969" s="11" t="s">
        <v>1435</v>
      </c>
    </row>
    <row r="970" ht="15.75" hidden="1" customHeight="1">
      <c r="D970" s="19"/>
      <c r="F970" s="11" t="s">
        <v>1435</v>
      </c>
    </row>
    <row r="971" ht="15.75" hidden="1" customHeight="1">
      <c r="D971" s="19"/>
      <c r="F971" s="11" t="s">
        <v>1435</v>
      </c>
    </row>
    <row r="972" ht="15.75" hidden="1" customHeight="1">
      <c r="D972" s="19"/>
      <c r="F972" s="11" t="s">
        <v>1435</v>
      </c>
    </row>
    <row r="973" ht="15.75" hidden="1" customHeight="1">
      <c r="D973" s="19"/>
      <c r="F973" s="11" t="s">
        <v>1435</v>
      </c>
    </row>
    <row r="974" ht="15.75" hidden="1" customHeight="1">
      <c r="D974" s="19"/>
      <c r="F974" s="11" t="s">
        <v>1435</v>
      </c>
    </row>
    <row r="975" ht="15.75" hidden="1" customHeight="1">
      <c r="D975" s="19"/>
      <c r="F975" s="11" t="s">
        <v>1435</v>
      </c>
    </row>
    <row r="976" ht="15.75" hidden="1" customHeight="1">
      <c r="D976" s="19"/>
      <c r="F976" s="11" t="s">
        <v>1435</v>
      </c>
    </row>
    <row r="977" ht="15.75" hidden="1" customHeight="1">
      <c r="D977" s="19"/>
      <c r="F977" s="11" t="s">
        <v>1435</v>
      </c>
    </row>
    <row r="978" ht="15.75" hidden="1" customHeight="1">
      <c r="D978" s="19"/>
      <c r="F978" s="11" t="s">
        <v>1435</v>
      </c>
    </row>
    <row r="979" ht="15.75" hidden="1" customHeight="1">
      <c r="D979" s="19"/>
      <c r="F979" s="11" t="s">
        <v>1435</v>
      </c>
    </row>
    <row r="980" ht="15.75" hidden="1" customHeight="1">
      <c r="D980" s="19"/>
      <c r="F980" s="11" t="s">
        <v>1435</v>
      </c>
    </row>
    <row r="981" ht="15.75" hidden="1" customHeight="1">
      <c r="D981" s="19"/>
      <c r="F981" s="11" t="s">
        <v>1435</v>
      </c>
    </row>
    <row r="982" ht="15.75" hidden="1" customHeight="1">
      <c r="D982" s="19"/>
      <c r="F982" s="11" t="s">
        <v>1435</v>
      </c>
    </row>
    <row r="983" ht="15.75" hidden="1" customHeight="1">
      <c r="D983" s="19"/>
      <c r="F983" s="11" t="s">
        <v>1435</v>
      </c>
    </row>
    <row r="984" ht="15.75" hidden="1" customHeight="1">
      <c r="D984" s="19"/>
      <c r="F984" s="11" t="s">
        <v>1435</v>
      </c>
    </row>
    <row r="985" ht="15.75" hidden="1" customHeight="1">
      <c r="D985" s="19"/>
      <c r="F985" s="11" t="s">
        <v>1435</v>
      </c>
    </row>
    <row r="986" ht="15.75" hidden="1" customHeight="1">
      <c r="D986" s="19"/>
      <c r="F986" s="11" t="s">
        <v>1435</v>
      </c>
    </row>
    <row r="987" ht="15.75" hidden="1" customHeight="1">
      <c r="D987" s="19"/>
      <c r="F987" s="11" t="s">
        <v>1435</v>
      </c>
    </row>
    <row r="988" ht="15.75" hidden="1" customHeight="1">
      <c r="D988" s="19"/>
      <c r="F988" s="11" t="s">
        <v>1435</v>
      </c>
    </row>
    <row r="989" ht="15.75" hidden="1" customHeight="1">
      <c r="D989" s="19"/>
      <c r="F989" s="11" t="s">
        <v>1435</v>
      </c>
    </row>
    <row r="990" ht="15.75" hidden="1" customHeight="1">
      <c r="D990" s="19"/>
      <c r="F990" s="11" t="s">
        <v>1435</v>
      </c>
    </row>
    <row r="991" ht="15.75" hidden="1" customHeight="1">
      <c r="D991" s="19"/>
      <c r="F991" s="11" t="s">
        <v>1435</v>
      </c>
    </row>
    <row r="992" ht="15.75" hidden="1" customHeight="1">
      <c r="D992" s="19"/>
      <c r="F992" s="11" t="s">
        <v>1435</v>
      </c>
    </row>
    <row r="993" ht="15.75" hidden="1" customHeight="1">
      <c r="D993" s="19"/>
      <c r="F993" s="11" t="s">
        <v>1435</v>
      </c>
    </row>
    <row r="994" ht="15.75" hidden="1" customHeight="1">
      <c r="D994" s="19"/>
      <c r="F994" s="11" t="s">
        <v>1435</v>
      </c>
    </row>
    <row r="995" ht="15.75" hidden="1" customHeight="1">
      <c r="D995" s="19"/>
      <c r="F995" s="11" t="s">
        <v>1435</v>
      </c>
    </row>
    <row r="996" ht="15.75" hidden="1" customHeight="1">
      <c r="D996" s="19"/>
      <c r="F996" s="11" t="s">
        <v>1435</v>
      </c>
    </row>
    <row r="997" ht="15.75" hidden="1" customHeight="1">
      <c r="D997" s="19"/>
      <c r="F997" s="11" t="s">
        <v>1435</v>
      </c>
    </row>
    <row r="998" ht="15.75" hidden="1" customHeight="1">
      <c r="D998" s="19"/>
      <c r="F998" s="11" t="s">
        <v>1435</v>
      </c>
    </row>
    <row r="999" ht="15.75" hidden="1" customHeight="1">
      <c r="D999" s="19"/>
      <c r="F999" s="11" t="s">
        <v>1435</v>
      </c>
    </row>
    <row r="1000" ht="15.75" hidden="1" customHeight="1">
      <c r="D1000" s="19"/>
      <c r="F1000" s="11" t="s">
        <v>1435</v>
      </c>
    </row>
  </sheetData>
  <autoFilter ref="$A$1:$E$1000">
    <filterColumn colId="3">
      <filters>
        <filter val="Sí"/>
      </filters>
    </filterColumn>
  </autoFilter>
  <dataValidations>
    <dataValidation type="list" allowBlank="1" sqref="D2:D874">
      <formula1>"Sí,No"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4.43"/>
    <col customWidth="1" min="3" max="3" width="28.57"/>
    <col customWidth="1" min="4" max="4" width="17.29"/>
    <col customWidth="1" min="5" max="5" width="25.0"/>
    <col customWidth="1" min="6" max="26" width="8.71"/>
  </cols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3" t="s">
        <v>8</v>
      </c>
      <c r="B2" s="4" t="s">
        <v>11</v>
      </c>
      <c r="C2" s="4" t="s">
        <v>13</v>
      </c>
      <c r="D2" s="3" t="s">
        <v>14</v>
      </c>
      <c r="E2" s="4"/>
    </row>
    <row r="3">
      <c r="A3" s="3" t="s">
        <v>16</v>
      </c>
      <c r="B3" s="4" t="s">
        <v>17</v>
      </c>
      <c r="C3" s="4" t="s">
        <v>13</v>
      </c>
      <c r="D3" s="3" t="s">
        <v>14</v>
      </c>
      <c r="E3" s="4"/>
    </row>
    <row r="4">
      <c r="A4" s="3" t="s">
        <v>23</v>
      </c>
      <c r="B4" s="4" t="s">
        <v>24</v>
      </c>
      <c r="C4" s="4" t="s">
        <v>25</v>
      </c>
      <c r="D4" s="3" t="s">
        <v>14</v>
      </c>
      <c r="E4" s="4"/>
    </row>
    <row r="5">
      <c r="A5" s="3" t="s">
        <v>26</v>
      </c>
      <c r="B5" s="4" t="s">
        <v>27</v>
      </c>
      <c r="C5" s="4" t="s">
        <v>28</v>
      </c>
      <c r="D5" s="3" t="s">
        <v>14</v>
      </c>
      <c r="E5" s="4"/>
    </row>
    <row r="6">
      <c r="A6" s="3" t="s">
        <v>29</v>
      </c>
      <c r="B6" s="6" t="s">
        <v>30</v>
      </c>
      <c r="C6" s="4" t="s">
        <v>31</v>
      </c>
      <c r="D6" s="3" t="s">
        <v>14</v>
      </c>
      <c r="E6" s="4"/>
    </row>
    <row r="7">
      <c r="A7" s="3" t="s">
        <v>32</v>
      </c>
      <c r="B7" s="4" t="s">
        <v>33</v>
      </c>
      <c r="C7" s="4" t="s">
        <v>34</v>
      </c>
      <c r="D7" s="3" t="s">
        <v>14</v>
      </c>
      <c r="E7" s="4"/>
    </row>
    <row r="8">
      <c r="A8" s="3" t="s">
        <v>36</v>
      </c>
      <c r="B8" s="4" t="s">
        <v>37</v>
      </c>
      <c r="C8" s="4" t="s">
        <v>39</v>
      </c>
      <c r="D8" s="3" t="s">
        <v>14</v>
      </c>
      <c r="E8" s="4"/>
    </row>
    <row r="9">
      <c r="A9" s="3" t="s">
        <v>41</v>
      </c>
      <c r="B9" s="4" t="s">
        <v>42</v>
      </c>
      <c r="C9" s="4" t="s">
        <v>43</v>
      </c>
      <c r="D9" s="3" t="s">
        <v>14</v>
      </c>
      <c r="E9" s="4"/>
    </row>
    <row r="10">
      <c r="A10" s="3" t="s">
        <v>45</v>
      </c>
      <c r="B10" s="4" t="s">
        <v>46</v>
      </c>
      <c r="C10" s="4" t="s">
        <v>48</v>
      </c>
      <c r="D10" s="3" t="s">
        <v>14</v>
      </c>
      <c r="E10" s="4"/>
    </row>
    <row r="11">
      <c r="A11" s="3" t="s">
        <v>49</v>
      </c>
      <c r="B11" s="4" t="s">
        <v>50</v>
      </c>
      <c r="C11" s="4" t="s">
        <v>25</v>
      </c>
      <c r="D11" s="3" t="s">
        <v>14</v>
      </c>
      <c r="E11" s="4"/>
    </row>
    <row r="12">
      <c r="A12" s="3" t="s">
        <v>51</v>
      </c>
      <c r="B12" s="4" t="s">
        <v>52</v>
      </c>
      <c r="C12" s="4" t="s">
        <v>39</v>
      </c>
      <c r="D12" s="3" t="s">
        <v>14</v>
      </c>
      <c r="E12" s="4"/>
    </row>
    <row r="13">
      <c r="A13" s="3" t="s">
        <v>53</v>
      </c>
      <c r="B13" s="4" t="s">
        <v>54</v>
      </c>
      <c r="C13" s="4" t="s">
        <v>13</v>
      </c>
      <c r="D13" s="3" t="s">
        <v>14</v>
      </c>
      <c r="E13" s="4"/>
    </row>
    <row r="14">
      <c r="A14" s="3" t="s">
        <v>55</v>
      </c>
      <c r="B14" s="4" t="s">
        <v>56</v>
      </c>
      <c r="C14" s="4" t="s">
        <v>13</v>
      </c>
      <c r="D14" s="3" t="s">
        <v>14</v>
      </c>
      <c r="E14" s="4"/>
    </row>
    <row r="15">
      <c r="A15" s="3" t="s">
        <v>57</v>
      </c>
      <c r="B15" s="4" t="s">
        <v>58</v>
      </c>
      <c r="C15" s="4" t="s">
        <v>13</v>
      </c>
      <c r="D15" s="3" t="s">
        <v>14</v>
      </c>
      <c r="E15" s="4"/>
    </row>
    <row r="16">
      <c r="A16" s="3" t="s">
        <v>59</v>
      </c>
      <c r="B16" s="4" t="s">
        <v>60</v>
      </c>
      <c r="C16" s="4" t="s">
        <v>61</v>
      </c>
      <c r="D16" s="3" t="s">
        <v>14</v>
      </c>
      <c r="E16" s="4"/>
    </row>
    <row r="17">
      <c r="A17" s="3" t="s">
        <v>62</v>
      </c>
      <c r="B17" s="4" t="s">
        <v>63</v>
      </c>
      <c r="C17" s="4" t="s">
        <v>64</v>
      </c>
      <c r="D17" s="3" t="s">
        <v>14</v>
      </c>
      <c r="E17" s="4"/>
    </row>
    <row r="18">
      <c r="A18" s="3" t="s">
        <v>65</v>
      </c>
      <c r="B18" s="4" t="s">
        <v>66</v>
      </c>
      <c r="C18" s="4" t="s">
        <v>25</v>
      </c>
      <c r="D18" s="3" t="s">
        <v>14</v>
      </c>
      <c r="E18" s="4"/>
    </row>
    <row r="19">
      <c r="A19" s="3" t="s">
        <v>67</v>
      </c>
      <c r="B19" s="4" t="s">
        <v>68</v>
      </c>
      <c r="C19" s="4" t="s">
        <v>34</v>
      </c>
      <c r="D19" s="3" t="s">
        <v>14</v>
      </c>
      <c r="E19" s="4"/>
    </row>
    <row r="20">
      <c r="A20" s="3" t="s">
        <v>69</v>
      </c>
      <c r="B20" s="4" t="s">
        <v>70</v>
      </c>
      <c r="C20" s="4" t="s">
        <v>25</v>
      </c>
      <c r="D20" s="3" t="s">
        <v>14</v>
      </c>
      <c r="E20" s="4"/>
    </row>
    <row r="21" ht="15.75" customHeight="1">
      <c r="A21" s="3" t="s">
        <v>71</v>
      </c>
      <c r="B21" s="4" t="s">
        <v>72</v>
      </c>
      <c r="C21" s="4" t="s">
        <v>34</v>
      </c>
      <c r="D21" s="3" t="s">
        <v>14</v>
      </c>
      <c r="E21" s="4"/>
    </row>
    <row r="22" ht="15.75" customHeight="1">
      <c r="A22" s="3" t="s">
        <v>73</v>
      </c>
      <c r="B22" s="4" t="s">
        <v>74</v>
      </c>
      <c r="C22" s="4" t="s">
        <v>48</v>
      </c>
      <c r="D22" s="3" t="s">
        <v>14</v>
      </c>
      <c r="E22" s="4"/>
    </row>
    <row r="23" ht="15.75" customHeight="1">
      <c r="A23" s="3" t="s">
        <v>75</v>
      </c>
      <c r="B23" s="4" t="s">
        <v>76</v>
      </c>
      <c r="C23" s="4" t="s">
        <v>64</v>
      </c>
      <c r="D23" s="3" t="s">
        <v>14</v>
      </c>
      <c r="E23" s="4"/>
    </row>
    <row r="24" ht="15.75" customHeight="1">
      <c r="A24" s="3" t="s">
        <v>77</v>
      </c>
      <c r="B24" s="4" t="s">
        <v>78</v>
      </c>
      <c r="C24" s="4" t="s">
        <v>79</v>
      </c>
      <c r="D24" s="3" t="s">
        <v>14</v>
      </c>
      <c r="E24" s="4"/>
    </row>
    <row r="25" ht="15.75" customHeight="1">
      <c r="A25" s="3" t="s">
        <v>80</v>
      </c>
      <c r="B25" s="4" t="s">
        <v>81</v>
      </c>
      <c r="C25" s="4" t="s">
        <v>13</v>
      </c>
      <c r="D25" s="3" t="s">
        <v>14</v>
      </c>
      <c r="E25" s="4"/>
    </row>
    <row r="26" ht="15.75" customHeight="1">
      <c r="A26" s="3" t="s">
        <v>82</v>
      </c>
      <c r="B26" s="4" t="s">
        <v>83</v>
      </c>
      <c r="C26" s="4" t="s">
        <v>34</v>
      </c>
      <c r="D26" s="3" t="s">
        <v>14</v>
      </c>
      <c r="E26" s="4"/>
    </row>
    <row r="27" ht="15.75" customHeight="1">
      <c r="A27" s="3" t="s">
        <v>84</v>
      </c>
      <c r="B27" s="4" t="s">
        <v>85</v>
      </c>
      <c r="C27" s="4" t="s">
        <v>25</v>
      </c>
      <c r="D27" s="3" t="s">
        <v>14</v>
      </c>
      <c r="E27" s="4"/>
    </row>
    <row r="28" ht="15.75" customHeight="1">
      <c r="A28" s="3" t="s">
        <v>86</v>
      </c>
      <c r="B28" s="4" t="s">
        <v>87</v>
      </c>
      <c r="C28" s="4" t="s">
        <v>34</v>
      </c>
      <c r="D28" s="3" t="s">
        <v>14</v>
      </c>
      <c r="E28" s="4"/>
    </row>
    <row r="29" ht="15.75" customHeight="1">
      <c r="A29" s="3"/>
    </row>
    <row r="30" ht="15.75" customHeight="1">
      <c r="A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B2" s="7" t="s">
        <v>0</v>
      </c>
    </row>
  </sheetData>
  <mergeCells count="1">
    <mergeCell ref="B2:D4"/>
  </mergeCells>
  <hyperlinks>
    <hyperlink r:id="rId1" ref="B2"/>
  </hyperlinks>
  <drawing r:id="rId2"/>
</worksheet>
</file>